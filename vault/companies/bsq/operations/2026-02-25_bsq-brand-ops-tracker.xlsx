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📅 Daily Tracker" sheetId="1" state="visible" r:id="rId3"/>
    <sheet name="🔵 Lead Pipeline" sheetId="2" state="visible" r:id="rId4"/>
    <sheet name="📊 Weekly Analytics" sheetId="3" state="visible" r:id="rId5"/>
    <sheet name="💰 Commission Tracker" sheetId="4" state="visible" r:id="rId6"/>
    <sheet name="ℹ️ Instru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<sst xmlns="http://schemas.openxmlformats.org/spreadsheetml/2006/main" count="141" uniqueCount="130">
  <si>
    <t xml:space="preserve">BSQ Brand + Business  —  MARKETING EXECUTIVE DAILY TASK TRACKER</t>
  </si>
  <si>
    <t xml:space="preserve">✔ = Done   ✘ = Missed   — = N/A   |   Update daily before EOD</t>
  </si>
  <si>
    <t xml:space="preserve">TASK / ACTIVITY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</si>
  <si>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</si>
  <si>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</si>
  <si>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</si>
  <si>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</si>
  <si>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</si>
  <si>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</si>
  <si>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DONE (DAYS)</t>
  </si>
  <si>
    <t xml:space="preserve">TARGET (DAYS)</t>
  </si>
  <si>
    <t xml:space="preserve">% COMPLETE</t>
  </si>
  <si>
    <t xml:space="preserve">  PART 1 — WEEKLY CONTENT OPERATIONS  (Monday workflow)</t>
  </si>
  <si>
    <t xml:space="preserve">Log in &amp; check client profile notifications</t>
  </si>
  <si>
    <t xml:space="preserve">Screenshot follower count → save to analytics tracker</t>
  </si>
  <si>
    <t xml:space="preserve">Review content pillars &amp; select week's focus</t>
  </si>
  <si>
    <t xml:space="preserve">Draft 3–5 posts (Hook / Body / CTA)</t>
  </si>
  <si>
    <t xml:space="preserve">Select visuals / brief carousels or video for each post</t>
  </si>
  <si>
    <t xml:space="preserve">Export drafts to Google Doc (approval template)</t>
  </si>
  <si>
    <t xml:space="preserve">Send approval email to client (48h deadline set)</t>
  </si>
  <si>
    <t xml:space="preserve">Schedule ALL approved posts in Taplio</t>
  </si>
  <si>
    <t xml:space="preserve">Screenshot Taplio calendar → save to shared tracker</t>
  </si>
  <si>
    <t xml:space="preserve">  PART 2 — DAILY ENGAGEMENT  (Mon–Sat)</t>
  </si>
  <si>
    <t xml:space="preserve">Follow 100 target niche accounts [Jonathan profile]</t>
  </si>
  <si>
    <t xml:space="preserve">Follow 100 target niche accounts [Amina profile]</t>
  </si>
  <si>
    <t xml:space="preserve">Leave 100 comments on niche influencer posts [Jonathan]</t>
  </si>
  <si>
    <t xml:space="preserve">Leave 100 comments on niche influencer posts [Amina]</t>
  </si>
  <si>
    <t xml:space="preserve">Reply to ALL comments on client posts [Jonathan]</t>
  </si>
  <si>
    <t xml:space="preserve">Reply to ALL comments on client posts [Amina]</t>
  </si>
  <si>
    <t xml:space="preserve">  PART 3 — SALES FUNNEL  (Mon–Sat)</t>
  </si>
  <si>
    <t xml:space="preserve">Review who engaged with posts → log warm leads in pipeline</t>
  </si>
  <si>
    <t xml:space="preserve">Send 5–10 personalised connection requests to qualified prospects</t>
  </si>
  <si>
    <t xml:space="preserve">Send DM 1 (value drop) to new connections (48h after connecting)</t>
  </si>
  <si>
    <t xml:space="preserve">Send DM 2 (soft probe) to non-responders from DM 1</t>
  </si>
  <si>
    <t xml:space="preserve">Send DM 3 (discovery offer) to engaged DM conversations</t>
  </si>
  <si>
    <t xml:space="preserve">Follow up on open proposals (if &gt;48h no response)</t>
  </si>
  <si>
    <t xml:space="preserve">Update pipeline stages in Lead Tracker (Google Sheet)</t>
  </si>
  <si>
    <t xml:space="preserve">Log any closed deal in Commission Tracker immediately</t>
  </si>
  <si>
    <t xml:space="preserve">  PART 4 — REPORTING  (Friday EOD)</t>
  </si>
  <si>
    <t xml:space="preserve">Complete weekly KPI report (impressions, follows, engagement)</t>
  </si>
  <si>
    <t xml:space="preserve">Review Taplio analytics — note top-performing post</t>
  </si>
  <si>
    <t xml:space="preserve">Check pipeline: any deals to move to next stage?</t>
  </si>
  <si>
    <t xml:space="preserve">Send weekly summary to manager / Jonathan</t>
  </si>
  <si>
    <t xml:space="preserve">  WEEKLY COMPLETION TOTALS</t>
  </si>
  <si>
    <t xml:space="preserve">BSQ BRAND + BUSINESS  —  LEAD PIPELINE TRACKER</t>
  </si>
  <si>
    <t xml:space="preserve">Update pipeline stages daily. Commission auto-calculates on Closed deals.</t>
  </si>
  <si>
    <t xml:space="preserve">DATE ADDED</t>
  </si>
  <si>
    <t xml:space="preserve">PROSPECT NAME</t>
  </si>
  <si>
    <t xml:space="preserve">LINKEDIN URL</t>
  </si>
  <si>
    <t xml:space="preserve">COMPANY / ROLE</t>
  </si>
  <si>
    <t xml:space="preserve">SOURCE PROFILE</t>
  </si>
  <si>
    <t xml:space="preserve">FUNNEL STAGE</t>
  </si>
  <si>
    <t xml:space="preserve">LAST ACTION</t>
  </si>
  <si>
    <t xml:space="preserve">NEXT ACTION</t>
  </si>
  <si>
    <t xml:space="preserve">NEXT ACTION DATE</t>
  </si>
  <si>
    <t xml:space="preserve">DEAL VALUE ($)</t>
  </si>
  <si>
    <t xml:space="preserve">COMMISSION ($)</t>
  </si>
  <si>
    <t xml:space="preserve">STATUS</t>
  </si>
  <si>
    <t xml:space="preserve">NOTES</t>
  </si>
  <si>
    <t xml:space="preserve">2026-02-24</t>
  </si>
  <si>
    <t xml:space="preserve">— Enter prospect name —</t>
  </si>
  <si>
    <t xml:space="preserve">Founder / CEO</t>
  </si>
  <si>
    <t xml:space="preserve">Jonathan Low</t>
  </si>
  <si>
    <t xml:space="preserve">Cold</t>
  </si>
  <si>
    <t xml:space="preserve">Connected</t>
  </si>
  <si>
    <t xml:space="preserve">Send DM 1</t>
  </si>
  <si>
    <t xml:space="preserve">2026-02-25</t>
  </si>
  <si>
    <t xml:space="preserve">Active</t>
  </si>
  <si>
    <t xml:space="preserve">  TOTALS</t>
  </si>
  <si>
    <t xml:space="preserve">BSQ BRAND + BUSINESS  —  WEEKLY ANALYTICS SUMMARY</t>
  </si>
  <si>
    <t xml:space="preserve">Track weekly growth metrics for both profiles. Update every Friday.</t>
  </si>
  <si>
    <t xml:space="preserve">METRIC</t>
  </si>
  <si>
    <t xml:space="preserve">WEEK 1</t>
  </si>
  <si>
    <t xml:space="preserve">WEEK 2</t>
  </si>
  <si>
    <t xml:space="preserve">WEEK 3</t>
  </si>
  <si>
    <t xml:space="preserve">WEEK 4</t>
  </si>
  <si>
    <t xml:space="preserve">TARGET/WK</t>
  </si>
  <si>
    <t xml:space="preserve">  ─── JONATHAN LOW PROFILE ───</t>
  </si>
  <si>
    <t xml:space="preserve">  Followers (end of week)</t>
  </si>
  <si>
    <t xml:space="preserve">  Impressions (total)</t>
  </si>
  <si>
    <t xml:space="preserve">  Engagement Rate (%)</t>
  </si>
  <si>
    <t xml:space="preserve">  New Follows Sent</t>
  </si>
  <si>
    <t xml:space="preserve">  Comments Left on Niche Posts</t>
  </si>
  <si>
    <t xml:space="preserve">  Post Comment Reply Rate (%)</t>
  </si>
  <si>
    <t xml:space="preserve">  New Leads Added to Pipeline</t>
  </si>
  <si>
    <t xml:space="preserve">  Discovery Calls Booked</t>
  </si>
  <si>
    <t xml:space="preserve">  ─── AMINA PROFILE ───</t>
  </si>
  <si>
    <t xml:space="preserve">  ─── OVERALL PIPELINE ───</t>
  </si>
  <si>
    <t xml:space="preserve">  Total Active Leads</t>
  </si>
  <si>
    <t xml:space="preserve">  Proposals Sent</t>
  </si>
  <si>
    <t xml:space="preserve">  Deals Closed</t>
  </si>
  <si>
    <t xml:space="preserve">  Revenue Closed ($)</t>
  </si>
  <si>
    <t xml:space="preserve">  Commission Earned ($)</t>
  </si>
  <si>
    <t xml:space="preserve">BSQ BRAND + BUSINESS  —  COMMISSION TRACKER</t>
  </si>
  <si>
    <t xml:space="preserve">Log every closed deal immediately. Commission = 10% monthly | 12% 6-month package | 8% add-ons</t>
  </si>
  <si>
    <t xml:space="preserve">DATE CLOSED</t>
  </si>
  <si>
    <t xml:space="preserve">CLIENT NAME</t>
  </si>
  <si>
    <t xml:space="preserve">DEAL TYPE</t>
  </si>
  <si>
    <t xml:space="preserve">COMM RATE</t>
  </si>
  <si>
    <t xml:space="preserve">BONUS ($)</t>
  </si>
  <si>
    <t xml:space="preserve">TOTAL EARNED ($)</t>
  </si>
  <si>
    <t xml:space="preserve">PAYMENT STATUS</t>
  </si>
  <si>
    <t xml:space="preserve">PAYMENT DATE</t>
  </si>
  <si>
    <t xml:space="preserve">  MONTHLY TOTALS</t>
  </si>
  <si>
    <t xml:space="preserve">BSQ BRAND + BUSINESS  —  HOW TO USE THIS TRACKER</t>
  </si>
  <si>
    <t xml:space="preserve">  📅 Daily Tracker</t>
  </si>
  <si>
    <t xml:space="preserve">Use the ✔ / ✘ / — dropdown in each day column to mark each task.</t>
  </si>
  <si>
    <t xml:space="preserve">✔ = Completed   ✘ = Missed   — = Not applicable today</t>
  </si>
  <si>
    <t xml:space="preserve">The % Complete column and totals update automatically.</t>
  </si>
  <si>
    <t xml:space="preserve">Complete this sheet DAILY before end of working day.</t>
  </si>
  <si>
    <t xml:space="preserve">  🔵 Lead Pipeline</t>
  </si>
  <si>
    <t xml:space="preserve">Add a new row for every new prospect you identify.</t>
  </si>
  <si>
    <t xml:space="preserve">Update the Funnel Stage column each time you move a lead forward.</t>
  </si>
  <si>
    <t xml:space="preserve">Commission auto-calculates when Stage = 'Closed'.</t>
  </si>
  <si>
    <t xml:space="preserve">Review this sheet daily and update Next Action + Next Action Date.</t>
  </si>
  <si>
    <t xml:space="preserve">  📊 Weekly Analytics</t>
  </si>
  <si>
    <t xml:space="preserve">Update every Friday by 5pm.</t>
  </si>
  <si>
    <t xml:space="preserve">Pull impressions and engagement data directly from LinkedIn Analytics / Taplio.</t>
  </si>
  <si>
    <t xml:space="preserve">This feeds the monthly client performance report.</t>
  </si>
  <si>
    <t xml:space="preserve">  💰 Commission Tracker</t>
  </si>
  <si>
    <t xml:space="preserve">Log EVERY closed deal immediately — do not wait until month end.</t>
  </si>
  <si>
    <t xml:space="preserve">Commission rate auto-fills based on deal type (10% / 12% / 8%).</t>
  </si>
  <si>
    <t xml:space="preserve">Update Payment Status once payment is confirmed by management.</t>
  </si>
  <si>
    <t xml:space="preserve">Monthly totals are auto-calculated at the bottom.</t>
  </si>
  <si>
    <t xml:space="preserve">  📌 Key Rules</t>
  </si>
  <si>
    <t xml:space="preserve">1. Daily Tracker must be updated DAILY — incomplete days = ✘</t>
  </si>
  <si>
    <t xml:space="preserve">2. Lead Pipeline must be reviewed DAILY — stale leads lose deals</t>
  </si>
  <si>
    <t xml:space="preserve">3. Never delete rows — use '—' or 'Lost' to archive</t>
  </si>
  <si>
    <t xml:space="preserve">4. Manager reviews this tracker every Monday for the prior week</t>
  </si>
  <si>
    <t xml:space="preserve">5. Commission disputes must be raised within 7 days of month-end statement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</si>
</sst>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1"/>
      <color rgb="FF0D3D7C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F9E04B"/>
      <name val="Arial"/>
      <family val="0"/>
      <charset val="1"/>
    </font>
    <font>
      <b val="true"/>
      <sz val="9"/>
      <color rgb="FF1A7A4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2"/>
      <color rgb="FFF9E04B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3D7C"/>
        <bgColor rgb="FF333399"/>
      </patternFill>
    </fill>
    <fill>
      <patternFill patternType="solid">
        <fgColor rgb="FF3A7FD5"/>
        <bgColor rgb="FF1A5EBF"/>
      </patternFill>
    </fill>
    <fill>
      <patternFill patternType="solid">
        <fgColor rgb="FF1A5EBF"/>
        <bgColor rgb="FF3A7FD5"/>
      </patternFill>
    </fill>
    <fill>
      <patternFill patternType="solid">
        <fgColor rgb="FFF4F6FA"/>
        <bgColor rgb="FFE8F4FD"/>
      </patternFill>
    </fill>
    <fill>
      <patternFill patternType="solid">
        <fgColor rgb="FFFFFFFF"/>
        <bgColor rgb="FFF4F6FA"/>
      </patternFill>
    </fill>
    <fill>
      <patternFill patternType="solid">
        <fgColor rgb="FFD5E8F9"/>
        <bgColor rgb="FFD6F0E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0D3D7C"/>
      </left>
      <right style="thin">
        <color rgb="FF0D3D7C"/>
      </right>
      <top style="thin">
        <color rgb="FF0D3D7C"/>
      </top>
      <bottom style="thin">
        <color rgb="FF0D3D7C"/>
      </bottom>
      <diagonal/>
    </border>
    <border diagonalUp="false" diagonalDown="false">
      <left/>
      <right/>
      <top/>
      <bottom style="thin">
        <color rgb="FFD0D7E3"/>
      </bottom>
      <diagonal/>
    </border>
    <border diagonalUp="false" diagonalDown="false"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1A7A4A"/>
      </font>
      <fill>
        <patternFill>
          <bgColor rgb="FFD6F0E3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DDEDE"/>
        </patternFill>
      </fill>
    </dxf>
    <dxf>
      <font>
        <name val="Arial"/>
        <charset val="1"/>
        <family val="0"/>
        <b val="1"/>
        <color rgb="FF555555"/>
      </font>
      <fill>
        <patternFill>
          <bgColor rgb="FFF4F6FA"/>
        </patternFill>
      </fill>
    </dxf>
    <dxf>
      <font>
        <name val="Arial"/>
        <charset val="1"/>
        <family val="0"/>
        <b val="1"/>
        <color rgb="FF0D3D7C"/>
      </font>
      <fill>
        <patternFill>
          <bgColor rgb="FFD5E8F9"/>
        </patternFill>
      </fill>
    </dxf>
    <dxf>
      <font>
        <name val="Arial"/>
        <charset val="1"/>
        <family val="0"/>
        <b val="1"/>
        <color rgb="FF3A7FD5"/>
      </font>
      <fill>
        <patternFill>
          <bgColor rgb="FFE8F4FD"/>
        </patternFill>
      </fill>
    </dxf>
    <dxf>
      <font>
        <name val="Arial"/>
        <charset val="1"/>
        <family val="0"/>
        <b val="1"/>
        <color rgb="FFB85C00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B8860B"/>
      </font>
      <fill>
        <patternFill>
          <bgColor rgb="FFFFF3CC"/>
        </patternFill>
      </fill>
    </dxf>
    <dxf>
      <font>
        <name val="Arial"/>
        <charset val="1"/>
        <family val="0"/>
        <b val="1"/>
        <color rgb="FF0A5C2E"/>
      </font>
      <fill>
        <patternFill>
          <bgColor rgb="FFC8F0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A5C2E"/>
      <rgbColor rgb="FF000080"/>
      <rgbColor rgb="FFB8860B"/>
      <rgbColor rgb="FF800080"/>
      <rgbColor rgb="FF1A7A4A"/>
      <rgbColor rgb="FFD5E8F9"/>
      <rgbColor rgb="FF808080"/>
      <rgbColor rgb="FF9999FF"/>
      <rgbColor rgb="FF993366"/>
      <rgbColor rgb="FFFFF3CC"/>
      <rgbColor rgb="FFD6F0E3"/>
      <rgbColor rgb="FF660066"/>
      <rgbColor rgb="FFFF8080"/>
      <rgbColor rgb="FF1A5EBF"/>
      <rgbColor rgb="FFD0D7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C8F0D8"/>
      <rgbColor rgb="FFFDEBD0"/>
      <rgbColor rgb="FFF4F6FA"/>
      <rgbColor rgb="FFFF99CC"/>
      <rgbColor rgb="FFCC99FF"/>
      <rgbColor rgb="FFFDDEDE"/>
      <rgbColor rgb="FF3A7FD5"/>
      <rgbColor rgb="FF33CCCC"/>
      <rgbColor rgb="FF99CC00"/>
      <rgbColor rgb="FFF9E04B"/>
      <rgbColor rgb="FFFF9900"/>
      <rgbColor rgb="FFB85C00"/>
      <rgbColor rgb="FF555555"/>
      <rgbColor rgb="FF969696"/>
      <rgbColor rgb="FF0D3D7C"/>
      <rgbColor rgb="FF339966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8" min="3" style="0" width="7"/>
    <col collapsed="false" customWidth="true" hidden="false" outlineLevel="0" max="9" min="9" style="0" width="4"/>
    <col collapsed="false" customWidth="true" hidden="false" outlineLevel="0" max="12" min="10" style="0" width="1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7.75" hidden="false" customHeight="tru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/>
      <c r="J4" s="3" t="s">
        <v>9</v>
      </c>
      <c r="K4" s="3" t="s">
        <v>10</v>
      </c>
      <c r="L4" s="3" t="s">
        <v>11</v>
      </c>
    </row>
    <row r="5" customFormat="false" ht="21.75" hidden="false" customHeight="true" outlineLevel="0" collapsed="false">
      <c r="A5" s="4" t="s">
        <v>12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9.5" hidden="false" customHeight="true" outlineLevel="0" collapsed="false">
      <c r="A6" s="5"/>
      <c r="B6" s="6" t="s">
        <v>13</v>
      </c>
      <c r="C6" s="7"/>
      <c r="D6" s="7"/>
      <c r="E6" s="7"/>
      <c r="F6" s="7"/>
      <c r="G6" s="7"/>
      <c r="H6" s="7"/>
      <c r="I6" s="5"/>
      <c r="J6" s="8" t="n">
        <f aca="false">COUNTIF(C6:H6,"✔")</f>
        <v>0</v>
      </c>
      <c r="K6" s="9" t="n">
        <v>1</v>
      </c>
      <c r="L6" s="10" t="n">
        <f aca="false">IF(K6=0,0,J6/K6)</f>
        <v>0</v>
      </c>
    </row>
    <row r="7" customFormat="false" ht="19.5" hidden="false" customHeight="true" outlineLevel="0" collapsed="false">
      <c r="A7" s="11"/>
      <c r="B7" s="12" t="s">
        <v>14</v>
      </c>
      <c r="C7" s="13"/>
      <c r="D7" s="13"/>
      <c r="E7" s="13"/>
      <c r="F7" s="13"/>
      <c r="G7" s="13"/>
      <c r="H7" s="13"/>
      <c r="I7" s="5"/>
      <c r="J7" s="14" t="n">
        <f aca="false">COUNTIF(C7:H7,"✔")</f>
        <v>0</v>
      </c>
      <c r="K7" s="15" t="n">
        <v>1</v>
      </c>
      <c r="L7" s="16" t="n">
        <f aca="false">IF(K7=0,0,J7/K7)</f>
        <v>0</v>
      </c>
    </row>
    <row r="8" customFormat="false" ht="19.5" hidden="false" customHeight="true" outlineLevel="0" collapsed="false">
      <c r="A8" s="5"/>
      <c r="B8" s="6" t="s">
        <v>15</v>
      </c>
      <c r="C8" s="7"/>
      <c r="D8" s="7"/>
      <c r="E8" s="7"/>
      <c r="F8" s="7"/>
      <c r="G8" s="7"/>
      <c r="H8" s="7"/>
      <c r="I8" s="5"/>
      <c r="J8" s="8" t="n">
        <f aca="false">COUNTIF(C8:H8,"✔")</f>
        <v>0</v>
      </c>
      <c r="K8" s="9" t="n">
        <v>1</v>
      </c>
      <c r="L8" s="10" t="n">
        <f aca="false">IF(K8=0,0,J8/K8)</f>
        <v>0</v>
      </c>
    </row>
    <row r="9" customFormat="false" ht="19.5" hidden="false" customHeight="true" outlineLevel="0" collapsed="false">
      <c r="A9" s="11"/>
      <c r="B9" s="12" t="s">
        <v>16</v>
      </c>
      <c r="C9" s="13"/>
      <c r="D9" s="13"/>
      <c r="E9" s="13"/>
      <c r="F9" s="13"/>
      <c r="G9" s="13"/>
      <c r="H9" s="13"/>
      <c r="I9" s="5"/>
      <c r="J9" s="14" t="n">
        <f aca="false">COUNTIF(C9:H9,"✔")</f>
        <v>0</v>
      </c>
      <c r="K9" s="15" t="n">
        <v>1</v>
      </c>
      <c r="L9" s="16" t="n">
        <f aca="false">IF(K9=0,0,J9/K9)</f>
        <v>0</v>
      </c>
    </row>
    <row r="10" customFormat="false" ht="19.5" hidden="false" customHeight="true" outlineLevel="0" collapsed="false">
      <c r="A10" s="5"/>
      <c r="B10" s="6" t="s">
        <v>17</v>
      </c>
      <c r="C10" s="7"/>
      <c r="D10" s="7"/>
      <c r="E10" s="7"/>
      <c r="F10" s="7"/>
      <c r="G10" s="7"/>
      <c r="H10" s="7"/>
      <c r="I10" s="5"/>
      <c r="J10" s="8" t="n">
        <f aca="false">COUNTIF(C10:H10,"✔")</f>
        <v>0</v>
      </c>
      <c r="K10" s="9" t="n">
        <v>1</v>
      </c>
      <c r="L10" s="10" t="n">
        <f aca="false">IF(K10=0,0,J10/K10)</f>
        <v>0</v>
      </c>
    </row>
    <row r="11" customFormat="false" ht="19.5" hidden="false" customHeight="true" outlineLevel="0" collapsed="false">
      <c r="A11" s="11"/>
      <c r="B11" s="12" t="s">
        <v>18</v>
      </c>
      <c r="C11" s="13"/>
      <c r="D11" s="13"/>
      <c r="E11" s="13"/>
      <c r="F11" s="13"/>
      <c r="G11" s="13"/>
      <c r="H11" s="13"/>
      <c r="I11" s="5"/>
      <c r="J11" s="14" t="n">
        <f aca="false">COUNTIF(C11:H11,"✔")</f>
        <v>0</v>
      </c>
      <c r="K11" s="15" t="n">
        <v>1</v>
      </c>
      <c r="L11" s="16" t="n">
        <f aca="false">IF(K11=0,0,J11/K11)</f>
        <v>0</v>
      </c>
    </row>
    <row r="12" customFormat="false" ht="19.5" hidden="false" customHeight="true" outlineLevel="0" collapsed="false">
      <c r="A12" s="5"/>
      <c r="B12" s="6" t="s">
        <v>19</v>
      </c>
      <c r="C12" s="7"/>
      <c r="D12" s="7"/>
      <c r="E12" s="7"/>
      <c r="F12" s="7"/>
      <c r="G12" s="7"/>
      <c r="H12" s="7"/>
      <c r="I12" s="5"/>
      <c r="J12" s="8" t="n">
        <f aca="false">COUNTIF(C12:H12,"✔")</f>
        <v>0</v>
      </c>
      <c r="K12" s="9" t="n">
        <v>1</v>
      </c>
      <c r="L12" s="10" t="n">
        <f aca="false">IF(K12=0,0,J12/K12)</f>
        <v>0</v>
      </c>
    </row>
    <row r="13" customFormat="false" ht="19.5" hidden="false" customHeight="true" outlineLevel="0" collapsed="false">
      <c r="A13" s="11"/>
      <c r="B13" s="12" t="s">
        <v>20</v>
      </c>
      <c r="C13" s="13"/>
      <c r="D13" s="13"/>
      <c r="E13" s="13"/>
      <c r="F13" s="13"/>
      <c r="G13" s="13"/>
      <c r="H13" s="13"/>
      <c r="I13" s="5"/>
      <c r="J13" s="14" t="n">
        <f aca="false">COUNTIF(C13:H13,"✔")</f>
        <v>0</v>
      </c>
      <c r="K13" s="15" t="n">
        <v>1</v>
      </c>
      <c r="L13" s="16" t="n">
        <f aca="false">IF(K13=0,0,J13/K13)</f>
        <v>0</v>
      </c>
    </row>
    <row r="14" customFormat="false" ht="19.5" hidden="false" customHeight="true" outlineLevel="0" collapsed="false">
      <c r="A14" s="5"/>
      <c r="B14" s="6" t="s">
        <v>21</v>
      </c>
      <c r="C14" s="7"/>
      <c r="D14" s="7"/>
      <c r="E14" s="7"/>
      <c r="F14" s="7"/>
      <c r="G14" s="7"/>
      <c r="H14" s="7"/>
      <c r="I14" s="5"/>
      <c r="J14" s="8" t="n">
        <f aca="false">COUNTIF(C14:H14,"✔")</f>
        <v>0</v>
      </c>
      <c r="K14" s="9" t="n">
        <v>1</v>
      </c>
      <c r="L14" s="10" t="n">
        <f aca="false">IF(K14=0,0,J14/K14)</f>
        <v>0</v>
      </c>
    </row>
    <row r="15" customFormat="false" ht="21.75" hidden="false" customHeight="true" outlineLevel="0" collapsed="false">
      <c r="A15" s="4" t="s">
        <v>22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9.5" hidden="false" customHeight="true" outlineLevel="0" collapsed="false">
      <c r="A16" s="5"/>
      <c r="B16" s="6" t="s">
        <v>23</v>
      </c>
      <c r="C16" s="7"/>
      <c r="D16" s="7"/>
      <c r="E16" s="7"/>
      <c r="F16" s="7"/>
      <c r="G16" s="7"/>
      <c r="H16" s="7"/>
      <c r="I16" s="5"/>
      <c r="J16" s="8" t="n">
        <f aca="false">COUNTIF(C16:H16,"✔")</f>
        <v>0</v>
      </c>
      <c r="K16" s="9" t="n">
        <v>6</v>
      </c>
      <c r="L16" s="10" t="n">
        <f aca="false">IF(K16=0,0,J16/K16)</f>
        <v>0</v>
      </c>
    </row>
    <row r="17" customFormat="false" ht="19.5" hidden="false" customHeight="true" outlineLevel="0" collapsed="false">
      <c r="A17" s="11"/>
      <c r="B17" s="12" t="s">
        <v>24</v>
      </c>
      <c r="C17" s="13"/>
      <c r="D17" s="13"/>
      <c r="E17" s="13"/>
      <c r="F17" s="13"/>
      <c r="G17" s="13"/>
      <c r="H17" s="13"/>
      <c r="I17" s="5"/>
      <c r="J17" s="14" t="n">
        <f aca="false">COUNTIF(C17:H17,"✔")</f>
        <v>0</v>
      </c>
      <c r="K17" s="15" t="n">
        <v>6</v>
      </c>
      <c r="L17" s="16" t="n">
        <f aca="false">IF(K17=0,0,J17/K17)</f>
        <v>0</v>
      </c>
    </row>
    <row r="18" customFormat="false" ht="19.5" hidden="false" customHeight="true" outlineLevel="0" collapsed="false">
      <c r="A18" s="5"/>
      <c r="B18" s="6" t="s">
        <v>25</v>
      </c>
      <c r="C18" s="7"/>
      <c r="D18" s="7"/>
      <c r="E18" s="7"/>
      <c r="F18" s="7"/>
      <c r="G18" s="7"/>
      <c r="H18" s="7"/>
      <c r="I18" s="5"/>
      <c r="J18" s="8" t="n">
        <f aca="false">COUNTIF(C18:H18,"✔")</f>
        <v>0</v>
      </c>
      <c r="K18" s="9" t="n">
        <v>6</v>
      </c>
      <c r="L18" s="10" t="n">
        <f aca="false">IF(K18=0,0,J18/K18)</f>
        <v>0</v>
      </c>
    </row>
    <row r="19" customFormat="false" ht="19.5" hidden="false" customHeight="true" outlineLevel="0" collapsed="false">
      <c r="A19" s="11"/>
      <c r="B19" s="12" t="s">
        <v>26</v>
      </c>
      <c r="C19" s="13"/>
      <c r="D19" s="13"/>
      <c r="E19" s="13"/>
      <c r="F19" s="13"/>
      <c r="G19" s="13"/>
      <c r="H19" s="13"/>
      <c r="I19" s="5"/>
      <c r="J19" s="14" t="n">
        <f aca="false">COUNTIF(C19:H19,"✔")</f>
        <v>0</v>
      </c>
      <c r="K19" s="15" t="n">
        <v>6</v>
      </c>
      <c r="L19" s="16" t="n">
        <f aca="false">IF(K19=0,0,J19/K19)</f>
        <v>0</v>
      </c>
    </row>
    <row r="20" customFormat="false" ht="19.5" hidden="false" customHeight="true" outlineLevel="0" collapsed="false">
      <c r="A20" s="5"/>
      <c r="B20" s="6" t="s">
        <v>27</v>
      </c>
      <c r="C20" s="7"/>
      <c r="D20" s="7"/>
      <c r="E20" s="7"/>
      <c r="F20" s="7"/>
      <c r="G20" s="7"/>
      <c r="H20" s="7"/>
      <c r="I20" s="5"/>
      <c r="J20" s="8" t="n">
        <f aca="false">COUNTIF(C20:H20,"✔")</f>
        <v>0</v>
      </c>
      <c r="K20" s="9" t="n">
        <v>6</v>
      </c>
      <c r="L20" s="10" t="n">
        <f aca="false">IF(K20=0,0,J20/K20)</f>
        <v>0</v>
      </c>
    </row>
    <row r="21" customFormat="false" ht="19.5" hidden="false" customHeight="true" outlineLevel="0" collapsed="false">
      <c r="A21" s="11"/>
      <c r="B21" s="12" t="s">
        <v>28</v>
      </c>
      <c r="C21" s="13"/>
      <c r="D21" s="13"/>
      <c r="E21" s="13"/>
      <c r="F21" s="13"/>
      <c r="G21" s="13"/>
      <c r="H21" s="13"/>
      <c r="I21" s="5"/>
      <c r="J21" s="14" t="n">
        <f aca="false">COUNTIF(C21:H21,"✔")</f>
        <v>0</v>
      </c>
      <c r="K21" s="15" t="n">
        <v>6</v>
      </c>
      <c r="L21" s="16" t="n">
        <f aca="false">IF(K21=0,0,J21/K21)</f>
        <v>0</v>
      </c>
    </row>
    <row r="22" customFormat="false" ht="21.75" hidden="false" customHeight="true" outlineLevel="0" collapsed="false">
      <c r="A22" s="4" t="s">
        <v>29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9.5" hidden="false" customHeight="true" outlineLevel="0" collapsed="false">
      <c r="A23" s="11"/>
      <c r="B23" s="12" t="s">
        <v>30</v>
      </c>
      <c r="C23" s="13"/>
      <c r="D23" s="13"/>
      <c r="E23" s="13"/>
      <c r="F23" s="13"/>
      <c r="G23" s="13"/>
      <c r="H23" s="13"/>
      <c r="I23" s="5"/>
      <c r="J23" s="14" t="n">
        <f aca="false">COUNTIF(C23:H23,"✔")</f>
        <v>0</v>
      </c>
      <c r="K23" s="15" t="n">
        <v>6</v>
      </c>
      <c r="L23" s="16" t="n">
        <f aca="false">IF(K23=0,0,J23/K23)</f>
        <v>0</v>
      </c>
    </row>
    <row r="24" customFormat="false" ht="19.5" hidden="false" customHeight="true" outlineLevel="0" collapsed="false">
      <c r="A24" s="5"/>
      <c r="B24" s="6" t="s">
        <v>31</v>
      </c>
      <c r="C24" s="7"/>
      <c r="D24" s="7"/>
      <c r="E24" s="7"/>
      <c r="F24" s="7"/>
      <c r="G24" s="7"/>
      <c r="H24" s="7"/>
      <c r="I24" s="5"/>
      <c r="J24" s="8" t="n">
        <f aca="false">COUNTIF(C24:H24,"✔")</f>
        <v>0</v>
      </c>
      <c r="K24" s="9" t="n">
        <v>6</v>
      </c>
      <c r="L24" s="10" t="n">
        <f aca="false">IF(K24=0,0,J24/K24)</f>
        <v>0</v>
      </c>
    </row>
    <row r="25" customFormat="false" ht="19.5" hidden="false" customHeight="true" outlineLevel="0" collapsed="false">
      <c r="A25" s="11"/>
      <c r="B25" s="12" t="s">
        <v>32</v>
      </c>
      <c r="C25" s="13"/>
      <c r="D25" s="13"/>
      <c r="E25" s="13"/>
      <c r="F25" s="13"/>
      <c r="G25" s="13"/>
      <c r="H25" s="13"/>
      <c r="I25" s="5"/>
      <c r="J25" s="14" t="n">
        <f aca="false">COUNTIF(C25:H25,"✔")</f>
        <v>0</v>
      </c>
      <c r="K25" s="15" t="n">
        <v>6</v>
      </c>
      <c r="L25" s="16" t="n">
        <f aca="false">IF(K25=0,0,J25/K25)</f>
        <v>0</v>
      </c>
    </row>
    <row r="26" customFormat="false" ht="19.5" hidden="false" customHeight="true" outlineLevel="0" collapsed="false">
      <c r="A26" s="5"/>
      <c r="B26" s="6" t="s">
        <v>33</v>
      </c>
      <c r="C26" s="7"/>
      <c r="D26" s="7"/>
      <c r="E26" s="7"/>
      <c r="F26" s="7"/>
      <c r="G26" s="7"/>
      <c r="H26" s="7"/>
      <c r="I26" s="5"/>
      <c r="J26" s="8" t="n">
        <f aca="false">COUNTIF(C26:H26,"✔")</f>
        <v>0</v>
      </c>
      <c r="K26" s="9" t="n">
        <v>6</v>
      </c>
      <c r="L26" s="10" t="n">
        <f aca="false">IF(K26=0,0,J26/K26)</f>
        <v>0</v>
      </c>
    </row>
    <row r="27" customFormat="false" ht="19.5" hidden="false" customHeight="true" outlineLevel="0" collapsed="false">
      <c r="A27" s="11"/>
      <c r="B27" s="12" t="s">
        <v>34</v>
      </c>
      <c r="C27" s="13"/>
      <c r="D27" s="13"/>
      <c r="E27" s="13"/>
      <c r="F27" s="13"/>
      <c r="G27" s="13"/>
      <c r="H27" s="13"/>
      <c r="I27" s="5"/>
      <c r="J27" s="14" t="n">
        <f aca="false">COUNTIF(C27:H27,"✔")</f>
        <v>0</v>
      </c>
      <c r="K27" s="15" t="n">
        <v>6</v>
      </c>
      <c r="L27" s="16" t="n">
        <f aca="false">IF(K27=0,0,J27/K27)</f>
        <v>0</v>
      </c>
    </row>
    <row r="28" customFormat="false" ht="19.5" hidden="false" customHeight="true" outlineLevel="0" collapsed="false">
      <c r="A28" s="5"/>
      <c r="B28" s="6" t="s">
        <v>35</v>
      </c>
      <c r="C28" s="7"/>
      <c r="D28" s="7"/>
      <c r="E28" s="7"/>
      <c r="F28" s="7"/>
      <c r="G28" s="7"/>
      <c r="H28" s="7"/>
      <c r="I28" s="5"/>
      <c r="J28" s="8" t="n">
        <f aca="false">COUNTIF(C28:H28,"✔")</f>
        <v>0</v>
      </c>
      <c r="K28" s="9" t="n">
        <v>5</v>
      </c>
      <c r="L28" s="10" t="n">
        <f aca="false">IF(K28=0,0,J28/K28)</f>
        <v>0</v>
      </c>
    </row>
    <row r="29" customFormat="false" ht="19.5" hidden="false" customHeight="true" outlineLevel="0" collapsed="false">
      <c r="A29" s="11"/>
      <c r="B29" s="12" t="s">
        <v>36</v>
      </c>
      <c r="C29" s="13"/>
      <c r="D29" s="13"/>
      <c r="E29" s="13"/>
      <c r="F29" s="13"/>
      <c r="G29" s="13"/>
      <c r="H29" s="13"/>
      <c r="I29" s="5"/>
      <c r="J29" s="14" t="n">
        <f aca="false">COUNTIF(C29:H29,"✔")</f>
        <v>0</v>
      </c>
      <c r="K29" s="15" t="n">
        <v>6</v>
      </c>
      <c r="L29" s="16" t="n">
        <f aca="false">IF(K29=0,0,J29/K29)</f>
        <v>0</v>
      </c>
    </row>
    <row r="30" customFormat="false" ht="19.5" hidden="false" customHeight="true" outlineLevel="0" collapsed="false">
      <c r="A30" s="5"/>
      <c r="B30" s="6" t="s">
        <v>37</v>
      </c>
      <c r="C30" s="7"/>
      <c r="D30" s="7"/>
      <c r="E30" s="7"/>
      <c r="F30" s="7"/>
      <c r="G30" s="7"/>
      <c r="H30" s="7"/>
      <c r="I30" s="5"/>
      <c r="J30" s="8" t="n">
        <f aca="false">COUNTIF(C30:H30,"✔")</f>
        <v>0</v>
      </c>
      <c r="K30" s="9" t="n">
        <v>5</v>
      </c>
      <c r="L30" s="10" t="n">
        <f aca="false">IF(K30=0,0,J30/K30)</f>
        <v>0</v>
      </c>
    </row>
    <row r="31" customFormat="false" ht="21.75" hidden="false" customHeight="true" outlineLevel="0" collapsed="false">
      <c r="A31" s="4" t="s">
        <v>38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9.5" hidden="false" customHeight="true" outlineLevel="0" collapsed="false">
      <c r="A32" s="5"/>
      <c r="B32" s="6" t="s">
        <v>39</v>
      </c>
      <c r="C32" s="7"/>
      <c r="D32" s="7"/>
      <c r="E32" s="7"/>
      <c r="F32" s="7"/>
      <c r="G32" s="7"/>
      <c r="H32" s="7"/>
      <c r="I32" s="5"/>
      <c r="J32" s="8" t="n">
        <f aca="false">COUNTIF(C32:H32,"✔")</f>
        <v>0</v>
      </c>
      <c r="K32" s="9" t="n">
        <v>1</v>
      </c>
      <c r="L32" s="10" t="n">
        <f aca="false">IF(K32=0,0,J32/K32)</f>
        <v>0</v>
      </c>
    </row>
    <row r="33" customFormat="false" ht="19.5" hidden="false" customHeight="true" outlineLevel="0" collapsed="false">
      <c r="A33" s="11"/>
      <c r="B33" s="12" t="s">
        <v>40</v>
      </c>
      <c r="C33" s="13"/>
      <c r="D33" s="13"/>
      <c r="E33" s="13"/>
      <c r="F33" s="13"/>
      <c r="G33" s="13"/>
      <c r="H33" s="13"/>
      <c r="I33" s="5"/>
      <c r="J33" s="14" t="n">
        <f aca="false">COUNTIF(C33:H33,"✔")</f>
        <v>0</v>
      </c>
      <c r="K33" s="15" t="n">
        <v>1</v>
      </c>
      <c r="L33" s="16" t="n">
        <f aca="false">IF(K33=0,0,J33/K33)</f>
        <v>0</v>
      </c>
    </row>
    <row r="34" customFormat="false" ht="19.5" hidden="false" customHeight="true" outlineLevel="0" collapsed="false">
      <c r="A34" s="5"/>
      <c r="B34" s="6" t="s">
        <v>41</v>
      </c>
      <c r="C34" s="7"/>
      <c r="D34" s="7"/>
      <c r="E34" s="7"/>
      <c r="F34" s="7"/>
      <c r="G34" s="7"/>
      <c r="H34" s="7"/>
      <c r="I34" s="5"/>
      <c r="J34" s="8" t="n">
        <f aca="false">COUNTIF(C34:H34,"✔")</f>
        <v>0</v>
      </c>
      <c r="K34" s="9" t="n">
        <v>1</v>
      </c>
      <c r="L34" s="10" t="n">
        <f aca="false">IF(K34=0,0,J34/K34)</f>
        <v>0</v>
      </c>
    </row>
    <row r="35" customFormat="false" ht="19.5" hidden="false" customHeight="true" outlineLevel="0" collapsed="false">
      <c r="A35" s="11"/>
      <c r="B35" s="12" t="s">
        <v>42</v>
      </c>
      <c r="C35" s="13"/>
      <c r="D35" s="13"/>
      <c r="E35" s="13"/>
      <c r="F35" s="13"/>
      <c r="G35" s="13"/>
      <c r="H35" s="13"/>
      <c r="I35" s="5"/>
      <c r="J35" s="14" t="n">
        <f aca="false">COUNTIF(C35:H35,"✔")</f>
        <v>0</v>
      </c>
      <c r="K35" s="15" t="n">
        <v>1</v>
      </c>
      <c r="L35" s="16" t="n">
        <f aca="false">IF(K35=0,0,J35/K35)</f>
        <v>0</v>
      </c>
    </row>
    <row r="37" customFormat="false" ht="27.75" hidden="false" customHeight="true" outlineLevel="0" collapsed="false">
      <c r="A37" s="17" t="s">
        <v>43</v>
      </c>
      <c r="B37" s="17"/>
      <c r="C37" s="18" t="n">
        <f aca="false">COUNTIF(C5:C35,"✔")</f>
        <v>0</v>
      </c>
      <c r="D37" s="18" t="n">
        <f aca="false">COUNTIF(D5:D35,"✔")</f>
        <v>0</v>
      </c>
      <c r="E37" s="18" t="n">
        <f aca="false">COUNTIF(E5:E35,"✔")</f>
        <v>0</v>
      </c>
      <c r="F37" s="18" t="n">
        <f aca="false">COUNTIF(F5:F35,"✔")</f>
        <v>0</v>
      </c>
      <c r="G37" s="18" t="n">
        <f aca="false">COUNTIF(G5:G35,"✔")</f>
        <v>0</v>
      </c>
      <c r="H37" s="18" t="n">
        <f aca="false">COUNTIF(H5:H35,"✔")</f>
        <v>0</v>
      </c>
      <c r="I37" s="19"/>
      <c r="J37" s="20" t="n">
        <f aca="false">SUM(J5:J35)</f>
        <v>0</v>
      </c>
      <c r="K37" s="21" t="n">
        <f aca="false">SUM(K5:K35)</f>
        <v>95</v>
      </c>
      <c r="L37" s="22" t="n">
        <f aca="false">IF(K37=0,0,J37/K37)</f>
        <v>0</v>
      </c>
    </row>
  </sheetData>
  <mergeCells count="7">
    <mergeCell ref="A1:L1"/>
    <mergeCell ref="A2:L2"/>
    <mergeCell ref="A5:L5"/>
    <mergeCell ref="A15:L15"/>
    <mergeCell ref="A22:L22"/>
    <mergeCell ref="A31:L31"/>
    <mergeCell ref="A37:B37"/>
  </mergeCells>
  <conditionalFormatting sqref="C5:H35">
    <cfRule type="cellIs" priority="2" operator="equal" aboveAverage="0" equalAverage="0" bottom="0" percent="0" rank="0" text="" dxfId="0">
      <formula>"✔"</formula>
    </cfRule>
    <cfRule type="cellIs" priority="3" operator="equal" aboveAverage="0" equalAverage="0" bottom="0" percent="0" rank="0" text="" dxfId="1">
      <formula>"✘"</formula>
    </cfRule>
  </conditionalFormatting>
  <conditionalFormatting sqref="L5:L35">
    <cfRule type="colorScale" priority="4">
      <colorScale>
        <cfvo type="num" val="0"/>
        <cfvo type="num" val="0.5"/>
        <cfvo type="num" val="1"/>
        <color rgb="FFFDDEDE"/>
        <color rgb="FFFFFBC0"/>
        <color rgb="FFD6F0E3"/>
      </colorScale>
    </cfRule>
  </conditionalFormatting>
  <dataValidations count="27">
    <dataValidation allowBlank="true" errorStyle="stop" operator="between" showDropDown="false" showErrorMessage="false" showInputMessage="false" sqref="C6:H6" type="list">
      <formula1>"✔,✘,—"</formula1>
      <formula2>0</formula2>
    </dataValidation>
    <dataValidation allowBlank="true" errorStyle="stop" operator="between" showDropDown="false" showErrorMessage="false" showInputMessage="false" sqref="C7:H7" type="list">
      <formula1>"✔,✘,—"</formula1>
      <formula2>0</formula2>
    </dataValidation>
    <dataValidation allowBlank="true" errorStyle="stop" operator="between" showDropDown="false" showErrorMessage="false" showInputMessage="false" sqref="C8:H8" type="list">
      <formula1>"✔,✘,—"</formula1>
      <formula2>0</formula2>
    </dataValidation>
    <dataValidation allowBlank="true" errorStyle="stop" operator="between" showDropDown="false" showErrorMessage="false" showInputMessage="false" sqref="C9:H9" type="list">
      <formula1>"✔,✘,—"</formula1>
      <formula2>0</formula2>
    </dataValidation>
    <dataValidation allowBlank="true" errorStyle="stop" operator="between" showDropDown="false" showErrorMessage="false" showInputMessage="false" sqref="C10:H10" type="list">
      <formula1>"✔,✘,—"</formula1>
      <formula2>0</formula2>
    </dataValidation>
    <dataValidation allowBlank="true" errorStyle="stop" operator="between" showDropDown="false" showErrorMessage="false" showInputMessage="false" sqref="C11:H11" type="list">
      <formula1>"✔,✘,—"</formula1>
      <formula2>0</formula2>
    </dataValidation>
    <dataValidation allowBlank="true" errorStyle="stop" operator="between" showDropDown="false" showErrorMessage="false" showInputMessage="false" sqref="C12:H12" type="list">
      <formula1>"✔,✘,—"</formula1>
      <formula2>0</formula2>
    </dataValidation>
    <dataValidation allowBlank="true" errorStyle="stop" operator="between" showDropDown="false" showErrorMessage="false" showInputMessage="false" sqref="C13:H13" type="list">
      <formula1>"✔,✘,—"</formula1>
      <formula2>0</formula2>
    </dataValidation>
    <dataValidation allowBlank="true" errorStyle="stop" operator="between" showDropDown="false" showErrorMessage="false" showInputMessage="false" sqref="C14:H14" type="list">
      <formula1>"✔,✘,—"</formula1>
      <formula2>0</formula2>
    </dataValidation>
    <dataValidation allowBlank="true" errorStyle="stop" operator="between" showDropDown="false" showErrorMessage="false" showInputMessage="false" sqref="C16:H16" type="list">
      <formula1>"✔,✘,—"</formula1>
      <formula2>0</formula2>
    </dataValidation>
    <dataValidation allowBlank="true" errorStyle="stop" operator="between" showDropDown="false" showErrorMessage="false" showInputMessage="false" sqref="C17:H17" type="list">
      <formula1>"✔,✘,—"</formula1>
      <formula2>0</formula2>
    </dataValidation>
    <dataValidation allowBlank="true" errorStyle="stop" operator="between" showDropDown="false" showErrorMessage="false" showInputMessage="false" sqref="C18:H18" type="list">
      <formula1>"✔,✘,—"</formula1>
      <formula2>0</formula2>
    </dataValidation>
    <dataValidation allowBlank="true" errorStyle="stop" operator="between" showDropDown="false" showErrorMessage="false" showInputMessage="false" sqref="C19:H19" type="list">
      <formula1>"✔,✘,—"</formula1>
      <formula2>0</formula2>
    </dataValidation>
    <dataValidation allowBlank="true" errorStyle="stop" operator="between" showDropDown="false" showErrorMessage="false" showInputMessage="false" sqref="C20:H20" type="list">
      <formula1>"✔,✘,—"</formula1>
      <formula2>0</formula2>
    </dataValidation>
    <dataValidation allowBlank="true" errorStyle="stop" operator="between" showDropDown="false" showErrorMessage="false" showInputMessage="false" sqref="C21:H21" type="list">
      <formula1>"✔,✘,—"</formula1>
      <formula2>0</formula2>
    </dataValidation>
    <dataValidation allowBlank="true" errorStyle="stop" operator="between" showDropDown="false" showErrorMessage="false" showInputMessage="false" sqref="C23:H23" type="list">
      <formula1>"✔,✘,—"</formula1>
      <formula2>0</formula2>
    </dataValidation>
    <dataValidation allowBlank="true" errorStyle="stop" operator="between" showDropDown="false" showErrorMessage="false" showInputMessage="false" sqref="C24:H24" type="list">
      <formula1>"✔,✘,—"</formula1>
      <formula2>0</formula2>
    </dataValidation>
    <dataValidation allowBlank="true" errorStyle="stop" operator="between" showDropDown="false" showErrorMessage="false" showInputMessage="false" sqref="C25:H25" type="list">
      <formula1>"✔,✘,—"</formula1>
      <formula2>0</formula2>
    </dataValidation>
    <dataValidation allowBlank="true" errorStyle="stop" operator="between" showDropDown="false" showErrorMessage="false" showInputMessage="false" sqref="C26:H26" type="list">
      <formula1>"✔,✘,—"</formula1>
      <formula2>0</formula2>
    </dataValidation>
    <dataValidation allowBlank="true" errorStyle="stop" operator="between" showDropDown="false" showErrorMessage="false" showInputMessage="false" sqref="C27:H27" type="list">
      <formula1>"✔,✘,—"</formula1>
      <formula2>0</formula2>
    </dataValidation>
    <dataValidation allowBlank="true" errorStyle="stop" operator="between" showDropDown="false" showErrorMessage="false" showInputMessage="false" sqref="C28:H28" type="list">
      <formula1>"✔,✘,—"</formula1>
      <formula2>0</formula2>
    </dataValidation>
    <dataValidation allowBlank="true" errorStyle="stop" operator="between" showDropDown="false" showErrorMessage="false" showInputMessage="false" sqref="C29:H29" type="list">
      <formula1>"✔,✘,—"</formula1>
      <formula2>0</formula2>
    </dataValidation>
    <dataValidation allowBlank="true" errorStyle="stop" operator="between" showDropDown="false" showErrorMessage="false" showInputMessage="false" sqref="C30:H30" type="list">
      <formula1>"✔,✘,—"</formula1>
      <formula2>0</formula2>
    </dataValidation>
    <dataValidation allowBlank="true" errorStyle="stop" operator="between" showDropDown="false" showErrorMessage="false" showInputMessage="false" sqref="C32:H32" type="list">
      <formula1>"✔,✘,—"</formula1>
      <formula2>0</formula2>
    </dataValidation>
    <dataValidation allowBlank="true" errorStyle="stop" operator="between" showDropDown="false" showErrorMessage="false" showInputMessage="false" sqref="C33:H33" type="list">
      <formula1>"✔,✘,—"</formula1>
      <formula2>0</formula2>
    </dataValidation>
    <dataValidation allowBlank="true" errorStyle="stop" operator="between" showDropDown="false" showErrorMessage="false" showInputMessage="false" sqref="C34:H34" type="list">
      <formula1>"✔,✘,—"</formula1>
      <formula2>0</formula2>
    </dataValidation>
    <dataValidation allowBlank="true" errorStyle="stop" operator="between" showDropDown="false" showErrorMessage="false" showInputMessage="false" sqref="C35:H35" type="list">
      <formula1>"✔,✘,—"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9" min="5" style="0" width="14"/>
    <col collapsed="false" customWidth="true" hidden="false" outlineLevel="0" max="12" min="10" style="0" width="12"/>
    <col collapsed="false" customWidth="true" hidden="false" outlineLevel="0" max="13" min="13" style="0" width="24"/>
  </cols>
  <sheetData>
    <row r="1" customFormat="false" ht="37.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</row>
    <row r="5" customFormat="false" ht="19.5" hidden="false" customHeight="true" outlineLevel="0" collapsed="false">
      <c r="A5" s="23" t="s">
        <v>59</v>
      </c>
      <c r="B5" s="24" t="s">
        <v>60</v>
      </c>
      <c r="C5" s="24"/>
      <c r="D5" s="24" t="s">
        <v>61</v>
      </c>
      <c r="E5" s="23" t="s">
        <v>62</v>
      </c>
      <c r="F5" s="23" t="s">
        <v>63</v>
      </c>
      <c r="G5" s="23" t="s">
        <v>64</v>
      </c>
      <c r="H5" s="23" t="s">
        <v>65</v>
      </c>
      <c r="I5" s="23" t="s">
        <v>66</v>
      </c>
      <c r="J5" s="23" t="n">
        <v>2500</v>
      </c>
      <c r="K5" s="25" t="n">
        <f aca="false">IF(F5="Closed",J5*0.1,0)</f>
        <v>0</v>
      </c>
      <c r="L5" s="23" t="s">
        <v>67</v>
      </c>
      <c r="M5" s="26"/>
    </row>
    <row r="6" customFormat="false" ht="19.5" hidden="false" customHeight="true" outlineLevel="0" collapsed="false">
      <c r="A6" s="27"/>
      <c r="B6" s="27"/>
      <c r="C6" s="27"/>
      <c r="D6" s="27"/>
      <c r="E6" s="27"/>
      <c r="F6" s="27"/>
      <c r="G6" s="27"/>
      <c r="H6" s="27"/>
      <c r="I6" s="27"/>
      <c r="J6" s="27"/>
      <c r="K6" s="28" t="n">
        <f aca="false">IF(F6="Closed",J6*0.1,0)</f>
        <v>0</v>
      </c>
      <c r="L6" s="27"/>
      <c r="M6" s="27"/>
    </row>
    <row r="7" customFormat="false" ht="19.5" hidden="false" customHeight="true" outlineLevel="0" collapsed="false">
      <c r="A7" s="24"/>
      <c r="B7" s="24"/>
      <c r="C7" s="24"/>
      <c r="D7" s="24"/>
      <c r="E7" s="24"/>
      <c r="F7" s="24"/>
      <c r="G7" s="24"/>
      <c r="H7" s="24"/>
      <c r="I7" s="24"/>
      <c r="J7" s="24"/>
      <c r="K7" s="25" t="n">
        <f aca="false">IF(F7="Closed",J7*0.1,0)</f>
        <v>0</v>
      </c>
      <c r="L7" s="24"/>
      <c r="M7" s="24"/>
    </row>
    <row r="8" customFormat="false" ht="19.5" hidden="false" customHeight="true" outlineLevel="0" collapsed="false">
      <c r="A8" s="27"/>
      <c r="B8" s="27"/>
      <c r="C8" s="27"/>
      <c r="D8" s="27"/>
      <c r="E8" s="27"/>
      <c r="F8" s="27"/>
      <c r="G8" s="27"/>
      <c r="H8" s="27"/>
      <c r="I8" s="27"/>
      <c r="J8" s="27"/>
      <c r="K8" s="28" t="n">
        <f aca="false">IF(F8="Closed",J8*0.1,0)</f>
        <v>0</v>
      </c>
      <c r="L8" s="27"/>
      <c r="M8" s="27"/>
    </row>
    <row r="9" customFormat="false" ht="19.5" hidden="false" customHeight="true" outlineLevel="0" collapsed="false">
      <c r="A9" s="24"/>
      <c r="B9" s="24"/>
      <c r="C9" s="24"/>
      <c r="D9" s="24"/>
      <c r="E9" s="24"/>
      <c r="F9" s="24"/>
      <c r="G9" s="24"/>
      <c r="H9" s="24"/>
      <c r="I9" s="24"/>
      <c r="J9" s="24"/>
      <c r="K9" s="25" t="n">
        <f aca="false">IF(F9="Closed",J9*0.1,0)</f>
        <v>0</v>
      </c>
      <c r="L9" s="24"/>
      <c r="M9" s="24"/>
    </row>
    <row r="10" customFormat="false" ht="19.5" hidden="false" customHeight="true" outlineLevel="0" collapsed="false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8" t="n">
        <f aca="false">IF(F10="Closed",J10*0.1,0)</f>
        <v>0</v>
      </c>
      <c r="L10" s="27"/>
      <c r="M10" s="27"/>
    </row>
    <row r="11" customFormat="false" ht="19.5" hidden="false" customHeight="true" outlineLevel="0" collapsed="false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5" t="n">
        <f aca="false">IF(F11="Closed",J11*0.1,0)</f>
        <v>0</v>
      </c>
      <c r="L11" s="24"/>
      <c r="M11" s="24"/>
    </row>
    <row r="12" customFormat="false" ht="19.5" hidden="false" customHeight="true" outlineLevel="0" collapsed="false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8" t="n">
        <f aca="false">IF(F12="Closed",J12*0.1,0)</f>
        <v>0</v>
      </c>
      <c r="L12" s="27"/>
      <c r="M12" s="27"/>
    </row>
    <row r="13" customFormat="false" ht="19.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5" t="n">
        <f aca="false">IF(F13="Closed",J13*0.1,0)</f>
        <v>0</v>
      </c>
      <c r="L13" s="24"/>
      <c r="M13" s="24"/>
    </row>
    <row r="14" customFormat="false" ht="19.5" hidden="false" customHeight="true" outlineLevel="0" collapsed="false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8" t="n">
        <f aca="false">IF(F14="Closed",J14*0.1,0)</f>
        <v>0</v>
      </c>
      <c r="L14" s="27"/>
      <c r="M14" s="27"/>
    </row>
    <row r="15" customFormat="false" ht="19.5" hidden="false" customHeight="true" outlineLevel="0" collapsed="false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5" t="n">
        <f aca="false">IF(F15="Closed",J15*0.1,0)</f>
        <v>0</v>
      </c>
      <c r="L15" s="24"/>
      <c r="M15" s="24"/>
    </row>
    <row r="16" customFormat="false" ht="19.5" hidden="false" customHeight="true" outlineLevel="0" collapsed="false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8" t="n">
        <f aca="false">IF(F16="Closed",J16*0.1,0)</f>
        <v>0</v>
      </c>
      <c r="L16" s="27"/>
      <c r="M16" s="27"/>
    </row>
    <row r="17" customFormat="false" ht="19.5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5" t="n">
        <f aca="false">IF(F17="Closed",J17*0.1,0)</f>
        <v>0</v>
      </c>
      <c r="L17" s="24"/>
      <c r="M17" s="24"/>
    </row>
    <row r="18" customFormat="false" ht="19.5" hidden="false" customHeight="true" outlineLevel="0" collapsed="false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8" t="n">
        <f aca="false">IF(F18="Closed",J18*0.1,0)</f>
        <v>0</v>
      </c>
      <c r="L18" s="27"/>
      <c r="M18" s="27"/>
    </row>
    <row r="19" customFormat="false" ht="19.5" hidden="false" customHeight="true" outlineLevel="0" collapsed="false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5" t="n">
        <f aca="false">IF(F19="Closed",J19*0.1,0)</f>
        <v>0</v>
      </c>
      <c r="L19" s="24"/>
      <c r="M19" s="24"/>
    </row>
    <row r="20" customFormat="false" ht="19.5" hidden="false" customHeight="true" outlineLevel="0" collapsed="false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8" t="n">
        <f aca="false">IF(F20="Closed",J20*0.1,0)</f>
        <v>0</v>
      </c>
      <c r="L20" s="27"/>
      <c r="M20" s="27"/>
    </row>
    <row r="21" customFormat="false" ht="19.5" hidden="false" customHeight="true" outlineLevel="0" collapsed="false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5" t="n">
        <f aca="false">IF(F21="Closed",J21*0.1,0)</f>
        <v>0</v>
      </c>
      <c r="L21" s="24"/>
      <c r="M21" s="24"/>
    </row>
    <row r="22" customFormat="false" ht="19.5" hidden="false" customHeight="true" outlineLevel="0" collapsed="false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8" t="n">
        <f aca="false">IF(F22="Closed",J22*0.1,0)</f>
        <v>0</v>
      </c>
      <c r="L22" s="27"/>
      <c r="M22" s="27"/>
    </row>
    <row r="23" customFormat="false" ht="19.5" hidden="false" customHeight="true" outlineLevel="0" collapsed="false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5" t="n">
        <f aca="false">IF(F23="Closed",J23*0.1,0)</f>
        <v>0</v>
      </c>
      <c r="L23" s="24"/>
      <c r="M23" s="24"/>
    </row>
    <row r="24" customFormat="false" ht="19.5" hidden="false" customHeight="true" outlineLevel="0" collapsed="false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8" t="n">
        <f aca="false">IF(F24="Closed",J24*0.1,0)</f>
        <v>0</v>
      </c>
      <c r="L24" s="27"/>
      <c r="M24" s="27"/>
    </row>
    <row r="25" customFormat="false" ht="19.5" hidden="false" customHeight="tru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5" t="n">
        <f aca="false">IF(F25="Closed",J25*0.1,0)</f>
        <v>0</v>
      </c>
      <c r="L25" s="24"/>
      <c r="M25" s="24"/>
    </row>
    <row r="26" customFormat="false" ht="19.5" hidden="false" customHeight="tru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8" t="n">
        <f aca="false">IF(F26="Closed",J26*0.1,0)</f>
        <v>0</v>
      </c>
      <c r="L26" s="27"/>
      <c r="M26" s="27"/>
    </row>
    <row r="27" customFormat="false" ht="19.5" hidden="false" customHeight="true" outlineLevel="0" collapsed="false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5" t="n">
        <f aca="false">IF(F27="Closed",J27*0.1,0)</f>
        <v>0</v>
      </c>
      <c r="L27" s="24"/>
      <c r="M27" s="24"/>
    </row>
    <row r="28" customFormat="false" ht="19.5" hidden="false" customHeight="true" outlineLevel="0" collapsed="false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8" t="n">
        <f aca="false">IF(F28="Closed",J28*0.1,0)</f>
        <v>0</v>
      </c>
      <c r="L28" s="27"/>
      <c r="M28" s="27"/>
    </row>
    <row r="29" customFormat="false" ht="19.5" hidden="false" customHeight="true" outlineLevel="0" collapsed="false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5" t="n">
        <f aca="false">IF(F29="Closed",J29*0.1,0)</f>
        <v>0</v>
      </c>
      <c r="L29" s="24"/>
      <c r="M29" s="24"/>
    </row>
    <row r="30" customFormat="false" ht="19.5" hidden="false" customHeight="true" outlineLevel="0" collapsed="false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8" t="n">
        <f aca="false">IF(F30="Closed",J30*0.1,0)</f>
        <v>0</v>
      </c>
      <c r="L30" s="27"/>
      <c r="M30" s="27"/>
    </row>
    <row r="31" customFormat="false" ht="19.5" hidden="false" customHeight="true" outlineLevel="0" collapsed="false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5" t="n">
        <f aca="false">IF(F31="Closed",J31*0.1,0)</f>
        <v>0</v>
      </c>
      <c r="L31" s="24"/>
      <c r="M31" s="24"/>
    </row>
    <row r="32" customFormat="false" ht="19.5" hidden="false" customHeight="tru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8" t="n">
        <f aca="false">IF(F32="Closed",J32*0.1,0)</f>
        <v>0</v>
      </c>
      <c r="L32" s="27"/>
      <c r="M32" s="27"/>
    </row>
    <row r="33" customFormat="false" ht="19.5" hidden="false" customHeight="true" outlineLevel="0" collapsed="false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5" t="n">
        <f aca="false">IF(F33="Closed",J33*0.1,0)</f>
        <v>0</v>
      </c>
      <c r="L33" s="24"/>
      <c r="M33" s="24"/>
    </row>
    <row r="34" customFormat="false" ht="19.5" hidden="false" customHeight="true" outlineLevel="0" collapsed="false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8" t="n">
        <f aca="false">IF(F34="Closed",J34*0.1,0)</f>
        <v>0</v>
      </c>
      <c r="L34" s="27"/>
      <c r="M34" s="27"/>
    </row>
    <row r="35" customFormat="false" ht="19.5" hidden="false" customHeight="true" outlineLevel="0" collapsed="false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5" t="n">
        <f aca="false">IF(F35="Closed",J35*0.1,0)</f>
        <v>0</v>
      </c>
      <c r="L35" s="24"/>
      <c r="M35" s="24"/>
    </row>
    <row r="37" customFormat="false" ht="27.75" hidden="false" customHeight="true" outlineLevel="0" collapsed="false">
      <c r="A37" s="17" t="s">
        <v>68</v>
      </c>
      <c r="B37" s="17"/>
      <c r="C37" s="17"/>
      <c r="D37" s="17"/>
      <c r="E37" s="17"/>
      <c r="F37" s="17"/>
      <c r="G37" s="17"/>
      <c r="H37" s="17"/>
      <c r="I37" s="17"/>
      <c r="J37" s="29" t="n">
        <f aca="false">SUMIF(F5:F36,"Closed",J5:J36)</f>
        <v>0</v>
      </c>
      <c r="K37" s="29" t="n">
        <f aca="false">SUM(K5:K36)</f>
        <v>0</v>
      </c>
      <c r="L37" s="19"/>
      <c r="M37" s="19"/>
    </row>
  </sheetData>
  <mergeCells count="3">
    <mergeCell ref="A1:M1"/>
    <mergeCell ref="A2:M2"/>
    <mergeCell ref="A37:I37"/>
  </mergeCells>
  <conditionalFormatting sqref="F5:F36">
    <cfRule type="cellIs" priority="2" operator="equal" aboveAverage="0" equalAverage="0" bottom="0" percent="0" rank="0" text="" dxfId="2">
      <formula>"Cold"</formula>
    </cfRule>
    <cfRule type="cellIs" priority="3" operator="equal" aboveAverage="0" equalAverage="0" bottom="0" percent="0" rank="0" text="" dxfId="3">
      <formula>"Warm"</formula>
    </cfRule>
    <cfRule type="cellIs" priority="4" operator="equal" aboveAverage="0" equalAverage="0" bottom="0" percent="0" rank="0" text="" dxfId="4">
      <formula>"Connected"</formula>
    </cfRule>
    <cfRule type="cellIs" priority="5" operator="equal" aboveAverage="0" equalAverage="0" bottom="0" percent="0" rank="0" text="" dxfId="5">
      <formula>"Nurturing"</formula>
    </cfRule>
    <cfRule type="cellIs" priority="6" operator="equal" aboveAverage="0" equalAverage="0" bottom="0" percent="0" rank="0" text="" dxfId="6">
      <formula>"Discovery"</formula>
    </cfRule>
    <cfRule type="cellIs" priority="7" operator="equal" aboveAverage="0" equalAverage="0" bottom="0" percent="0" rank="0" text="" dxfId="0">
      <formula>"Proposal"</formula>
    </cfRule>
    <cfRule type="cellIs" priority="8" operator="equal" aboveAverage="0" equalAverage="0" bottom="0" percent="0" rank="0" text="" dxfId="7">
      <formula>"Closed"</formula>
    </cfRule>
    <cfRule type="cellIs" priority="9" operator="equal" aboveAverage="0" equalAverage="0" bottom="0" percent="0" rank="0" text="" dxfId="1">
      <formula>"Lost"</formula>
    </cfRule>
  </conditionalFormatting>
  <dataValidations count="3">
    <dataValidation allowBlank="false" errorStyle="stop" operator="between" showDropDown="false" showErrorMessage="false" showInputMessage="false" sqref="F5:F35" type="list">
      <formula1>"Cold,Warm,Connected,Nurturing,Discovery,Proposal,Closed,Lost"</formula1>
      <formula2>0</formula2>
    </dataValidation>
    <dataValidation allowBlank="false" errorStyle="stop" operator="between" showDropDown="false" showErrorMessage="false" showInputMessage="false" sqref="E5:E35" type="list">
      <formula1>"Jonathan Low,Amina,Both"</formula1>
      <formula2>0</formula2>
    </dataValidation>
    <dataValidation allowBlank="false" errorStyle="stop" operator="between" showDropDown="false" showErrorMessage="false" showInputMessage="false" sqref="L5:L35" type="list">
      <formula1>"Active,On Hold,Closed Won,Closed 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</cols>
  <sheetData>
    <row r="1" customFormat="false" ht="37.5" hidden="false" customHeight="true" outlineLevel="0" collapsed="false">
      <c r="A1" s="1" t="s">
        <v>69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70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71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76</v>
      </c>
    </row>
    <row r="5" customFormat="false" ht="19.5" hidden="false" customHeight="true" outlineLevel="0" collapsed="false">
      <c r="A5" s="30" t="s">
        <v>77</v>
      </c>
      <c r="B5" s="30"/>
      <c r="C5" s="30"/>
      <c r="D5" s="30"/>
      <c r="E5" s="30"/>
      <c r="F5" s="30"/>
    </row>
    <row r="6" customFormat="false" ht="19.5" hidden="false" customHeight="true" outlineLevel="0" collapsed="false">
      <c r="A6" s="27" t="s">
        <v>78</v>
      </c>
      <c r="B6" s="31"/>
      <c r="C6" s="31"/>
      <c r="D6" s="31"/>
      <c r="E6" s="31"/>
      <c r="F6" s="31"/>
    </row>
    <row r="7" customFormat="false" ht="19.5" hidden="false" customHeight="true" outlineLevel="0" collapsed="false">
      <c r="A7" s="24" t="s">
        <v>79</v>
      </c>
      <c r="B7" s="32"/>
      <c r="C7" s="32"/>
      <c r="D7" s="32"/>
      <c r="E7" s="32"/>
      <c r="F7" s="32"/>
    </row>
    <row r="8" customFormat="false" ht="19.5" hidden="false" customHeight="true" outlineLevel="0" collapsed="false">
      <c r="A8" s="27" t="s">
        <v>80</v>
      </c>
      <c r="B8" s="31"/>
      <c r="C8" s="31"/>
      <c r="D8" s="31"/>
      <c r="E8" s="31"/>
      <c r="F8" s="31"/>
    </row>
    <row r="9" customFormat="false" ht="19.5" hidden="false" customHeight="true" outlineLevel="0" collapsed="false">
      <c r="A9" s="24" t="s">
        <v>81</v>
      </c>
      <c r="B9" s="32"/>
      <c r="C9" s="32"/>
      <c r="D9" s="32"/>
      <c r="E9" s="32"/>
      <c r="F9" s="32"/>
    </row>
    <row r="10" customFormat="false" ht="19.5" hidden="false" customHeight="true" outlineLevel="0" collapsed="false">
      <c r="A10" s="27" t="s">
        <v>82</v>
      </c>
      <c r="B10" s="31"/>
      <c r="C10" s="31"/>
      <c r="D10" s="31"/>
      <c r="E10" s="31"/>
      <c r="F10" s="31"/>
    </row>
    <row r="11" customFormat="false" ht="19.5" hidden="false" customHeight="true" outlineLevel="0" collapsed="false">
      <c r="A11" s="24" t="s">
        <v>83</v>
      </c>
      <c r="B11" s="32"/>
      <c r="C11" s="32"/>
      <c r="D11" s="32"/>
      <c r="E11" s="32"/>
      <c r="F11" s="32"/>
    </row>
    <row r="12" customFormat="false" ht="19.5" hidden="false" customHeight="true" outlineLevel="0" collapsed="false">
      <c r="A12" s="27" t="s">
        <v>84</v>
      </c>
      <c r="B12" s="31"/>
      <c r="C12" s="31"/>
      <c r="D12" s="31"/>
      <c r="E12" s="31"/>
      <c r="F12" s="31"/>
    </row>
    <row r="13" customFormat="false" ht="19.5" hidden="false" customHeight="true" outlineLevel="0" collapsed="false">
      <c r="A13" s="24" t="s">
        <v>85</v>
      </c>
      <c r="B13" s="32"/>
      <c r="C13" s="32"/>
      <c r="D13" s="32"/>
      <c r="E13" s="32"/>
      <c r="F13" s="32"/>
    </row>
    <row r="14" customFormat="false" ht="19.5" hidden="false" customHeight="true" outlineLevel="0" collapsed="false">
      <c r="A14" s="30" t="s">
        <v>86</v>
      </c>
      <c r="B14" s="30"/>
      <c r="C14" s="30"/>
      <c r="D14" s="30"/>
      <c r="E14" s="30"/>
      <c r="F14" s="30"/>
    </row>
    <row r="15" customFormat="false" ht="19.5" hidden="false" customHeight="true" outlineLevel="0" collapsed="false">
      <c r="A15" s="24" t="s">
        <v>78</v>
      </c>
      <c r="B15" s="32"/>
      <c r="C15" s="32"/>
      <c r="D15" s="32"/>
      <c r="E15" s="32"/>
      <c r="F15" s="32"/>
    </row>
    <row r="16" customFormat="false" ht="19.5" hidden="false" customHeight="true" outlineLevel="0" collapsed="false">
      <c r="A16" s="27" t="s">
        <v>79</v>
      </c>
      <c r="B16" s="31"/>
      <c r="C16" s="31"/>
      <c r="D16" s="31"/>
      <c r="E16" s="31"/>
      <c r="F16" s="31"/>
    </row>
    <row r="17" customFormat="false" ht="19.5" hidden="false" customHeight="true" outlineLevel="0" collapsed="false">
      <c r="A17" s="24" t="s">
        <v>80</v>
      </c>
      <c r="B17" s="32"/>
      <c r="C17" s="32"/>
      <c r="D17" s="32"/>
      <c r="E17" s="32"/>
      <c r="F17" s="32"/>
    </row>
    <row r="18" customFormat="false" ht="19.5" hidden="false" customHeight="true" outlineLevel="0" collapsed="false">
      <c r="A18" s="27" t="s">
        <v>81</v>
      </c>
      <c r="B18" s="31"/>
      <c r="C18" s="31"/>
      <c r="D18" s="31"/>
      <c r="E18" s="31"/>
      <c r="F18" s="31"/>
    </row>
    <row r="19" customFormat="false" ht="19.5" hidden="false" customHeight="true" outlineLevel="0" collapsed="false">
      <c r="A19" s="24" t="s">
        <v>82</v>
      </c>
      <c r="B19" s="32"/>
      <c r="C19" s="32"/>
      <c r="D19" s="32"/>
      <c r="E19" s="32"/>
      <c r="F19" s="32"/>
    </row>
    <row r="20" customFormat="false" ht="19.5" hidden="false" customHeight="true" outlineLevel="0" collapsed="false">
      <c r="A20" s="27" t="s">
        <v>83</v>
      </c>
      <c r="B20" s="31"/>
      <c r="C20" s="31"/>
      <c r="D20" s="31"/>
      <c r="E20" s="31"/>
      <c r="F20" s="31"/>
    </row>
    <row r="21" customFormat="false" ht="19.5" hidden="false" customHeight="true" outlineLevel="0" collapsed="false">
      <c r="A21" s="24" t="s">
        <v>84</v>
      </c>
      <c r="B21" s="32"/>
      <c r="C21" s="32"/>
      <c r="D21" s="32"/>
      <c r="E21" s="32"/>
      <c r="F21" s="32"/>
    </row>
    <row r="22" customFormat="false" ht="19.5" hidden="false" customHeight="true" outlineLevel="0" collapsed="false">
      <c r="A22" s="27" t="s">
        <v>85</v>
      </c>
      <c r="B22" s="31"/>
      <c r="C22" s="31"/>
      <c r="D22" s="31"/>
      <c r="E22" s="31"/>
      <c r="F22" s="31"/>
    </row>
    <row r="23" customFormat="false" ht="19.5" hidden="false" customHeight="true" outlineLevel="0" collapsed="false">
      <c r="A23" s="30" t="s">
        <v>87</v>
      </c>
      <c r="B23" s="30"/>
      <c r="C23" s="30"/>
      <c r="D23" s="30"/>
      <c r="E23" s="30"/>
      <c r="F23" s="30"/>
    </row>
    <row r="24" customFormat="false" ht="19.5" hidden="false" customHeight="true" outlineLevel="0" collapsed="false">
      <c r="A24" s="27" t="s">
        <v>88</v>
      </c>
      <c r="B24" s="31"/>
      <c r="C24" s="31"/>
      <c r="D24" s="31"/>
      <c r="E24" s="31"/>
      <c r="F24" s="31"/>
    </row>
    <row r="25" customFormat="false" ht="19.5" hidden="false" customHeight="true" outlineLevel="0" collapsed="false">
      <c r="A25" s="24" t="s">
        <v>89</v>
      </c>
      <c r="B25" s="32"/>
      <c r="C25" s="32"/>
      <c r="D25" s="32"/>
      <c r="E25" s="32"/>
      <c r="F25" s="32"/>
    </row>
    <row r="26" customFormat="false" ht="19.5" hidden="false" customHeight="true" outlineLevel="0" collapsed="false">
      <c r="A26" s="27" t="s">
        <v>90</v>
      </c>
      <c r="B26" s="31"/>
      <c r="C26" s="31"/>
      <c r="D26" s="31"/>
      <c r="E26" s="31"/>
      <c r="F26" s="31"/>
    </row>
    <row r="27" customFormat="false" ht="19.5" hidden="false" customHeight="true" outlineLevel="0" collapsed="false">
      <c r="A27" s="24" t="s">
        <v>91</v>
      </c>
      <c r="B27" s="32"/>
      <c r="C27" s="32"/>
      <c r="D27" s="32"/>
      <c r="E27" s="32"/>
      <c r="F27" s="32"/>
    </row>
    <row r="28" customFormat="false" ht="19.5" hidden="false" customHeight="true" outlineLevel="0" collapsed="false">
      <c r="A28" s="27" t="s">
        <v>92</v>
      </c>
      <c r="B28" s="31"/>
      <c r="C28" s="31"/>
      <c r="D28" s="31"/>
      <c r="E28" s="31"/>
      <c r="F28" s="31"/>
    </row>
  </sheetData>
  <mergeCells count="5">
    <mergeCell ref="A1:F1"/>
    <mergeCell ref="A2:F2"/>
    <mergeCell ref="A5:F5"/>
    <mergeCell ref="A14:F14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10" min="4" style="0" width="14"/>
    <col collapsed="false" customWidth="true" hidden="false" outlineLevel="0" max="11" min="11" style="0" width="24"/>
  </cols>
  <sheetData>
    <row r="1" customFormat="false" ht="37.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94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95</v>
      </c>
      <c r="B4" s="3" t="s">
        <v>96</v>
      </c>
      <c r="C4" s="3" t="s">
        <v>97</v>
      </c>
      <c r="D4" s="3" t="s">
        <v>55</v>
      </c>
      <c r="E4" s="3" t="s">
        <v>98</v>
      </c>
      <c r="F4" s="3" t="s">
        <v>56</v>
      </c>
      <c r="G4" s="3" t="s">
        <v>99</v>
      </c>
      <c r="H4" s="3" t="s">
        <v>100</v>
      </c>
      <c r="I4" s="3" t="s">
        <v>101</v>
      </c>
      <c r="J4" s="3" t="s">
        <v>102</v>
      </c>
      <c r="K4" s="3" t="s">
        <v>58</v>
      </c>
    </row>
    <row r="5" customFormat="false" ht="19.5" hidden="false" customHeight="true" outlineLevel="0" collapsed="false">
      <c r="A5" s="23"/>
      <c r="B5" s="23"/>
      <c r="C5" s="23"/>
      <c r="D5" s="23"/>
      <c r="E5" s="33" t="n">
        <f aca="false">IF(C5="6-Month Package",12%,IF(C5="Add-On",8%,10%))</f>
        <v>0.1</v>
      </c>
      <c r="F5" s="25" t="n">
        <f aca="false">IF(D5="",0,D5*E5)</f>
        <v>0</v>
      </c>
      <c r="G5" s="23"/>
      <c r="H5" s="25" t="n">
        <f aca="false">F5+G5</f>
        <v>0</v>
      </c>
      <c r="I5" s="23"/>
      <c r="J5" s="23"/>
      <c r="K5" s="23"/>
    </row>
    <row r="6" customFormat="false" ht="19.5" hidden="false" customHeight="true" outlineLevel="0" collapsed="false">
      <c r="A6" s="34"/>
      <c r="B6" s="34"/>
      <c r="C6" s="34"/>
      <c r="D6" s="34"/>
      <c r="E6" s="35" t="n">
        <f aca="false">IF(C6="6-Month Package",12%,IF(C6="Add-On",8%,10%))</f>
        <v>0.1</v>
      </c>
      <c r="F6" s="28" t="n">
        <f aca="false">IF(D6="",0,D6*E6)</f>
        <v>0</v>
      </c>
      <c r="G6" s="34"/>
      <c r="H6" s="28" t="n">
        <f aca="false">F6+G6</f>
        <v>0</v>
      </c>
      <c r="I6" s="34"/>
      <c r="J6" s="34"/>
      <c r="K6" s="34"/>
    </row>
    <row r="7" customFormat="false" ht="19.5" hidden="false" customHeight="true" outlineLevel="0" collapsed="false">
      <c r="A7" s="23"/>
      <c r="B7" s="23"/>
      <c r="C7" s="23"/>
      <c r="D7" s="23"/>
      <c r="E7" s="33" t="n">
        <f aca="false">IF(C7="6-Month Package",12%,IF(C7="Add-On",8%,10%))</f>
        <v>0.1</v>
      </c>
      <c r="F7" s="25" t="n">
        <f aca="false">IF(D7="",0,D7*E7)</f>
        <v>0</v>
      </c>
      <c r="G7" s="23"/>
      <c r="H7" s="25" t="n">
        <f aca="false">F7+G7</f>
        <v>0</v>
      </c>
      <c r="I7" s="23"/>
      <c r="J7" s="23"/>
      <c r="K7" s="23"/>
    </row>
    <row r="8" customFormat="false" ht="19.5" hidden="false" customHeight="true" outlineLevel="0" collapsed="false">
      <c r="A8" s="34"/>
      <c r="B8" s="34"/>
      <c r="C8" s="34"/>
      <c r="D8" s="34"/>
      <c r="E8" s="35" t="n">
        <f aca="false">IF(C8="6-Month Package",12%,IF(C8="Add-On",8%,10%))</f>
        <v>0.1</v>
      </c>
      <c r="F8" s="28" t="n">
        <f aca="false">IF(D8="",0,D8*E8)</f>
        <v>0</v>
      </c>
      <c r="G8" s="34"/>
      <c r="H8" s="28" t="n">
        <f aca="false">F8+G8</f>
        <v>0</v>
      </c>
      <c r="I8" s="34"/>
      <c r="J8" s="34"/>
      <c r="K8" s="34"/>
    </row>
    <row r="9" customFormat="false" ht="19.5" hidden="false" customHeight="true" outlineLevel="0" collapsed="false">
      <c r="A9" s="23"/>
      <c r="B9" s="23"/>
      <c r="C9" s="23"/>
      <c r="D9" s="23"/>
      <c r="E9" s="33" t="n">
        <f aca="false">IF(C9="6-Month Package",12%,IF(C9="Add-On",8%,10%))</f>
        <v>0.1</v>
      </c>
      <c r="F9" s="25" t="n">
        <f aca="false">IF(D9="",0,D9*E9)</f>
        <v>0</v>
      </c>
      <c r="G9" s="23"/>
      <c r="H9" s="25" t="n">
        <f aca="false">F9+G9</f>
        <v>0</v>
      </c>
      <c r="I9" s="23"/>
      <c r="J9" s="23"/>
      <c r="K9" s="23"/>
    </row>
    <row r="10" customFormat="false" ht="19.5" hidden="false" customHeight="true" outlineLevel="0" collapsed="false">
      <c r="A10" s="34"/>
      <c r="B10" s="34"/>
      <c r="C10" s="34"/>
      <c r="D10" s="34"/>
      <c r="E10" s="35" t="n">
        <f aca="false">IF(C10="6-Month Package",12%,IF(C10="Add-On",8%,10%))</f>
        <v>0.1</v>
      </c>
      <c r="F10" s="28" t="n">
        <f aca="false">IF(D10="",0,D10*E10)</f>
        <v>0</v>
      </c>
      <c r="G10" s="34"/>
      <c r="H10" s="28" t="n">
        <f aca="false">F10+G10</f>
        <v>0</v>
      </c>
      <c r="I10" s="34"/>
      <c r="J10" s="34"/>
      <c r="K10" s="34"/>
    </row>
    <row r="11" customFormat="false" ht="19.5" hidden="false" customHeight="true" outlineLevel="0" collapsed="false">
      <c r="A11" s="23"/>
      <c r="B11" s="23"/>
      <c r="C11" s="23"/>
      <c r="D11" s="23"/>
      <c r="E11" s="33" t="n">
        <f aca="false">IF(C11="6-Month Package",12%,IF(C11="Add-On",8%,10%))</f>
        <v>0.1</v>
      </c>
      <c r="F11" s="25" t="n">
        <f aca="false">IF(D11="",0,D11*E11)</f>
        <v>0</v>
      </c>
      <c r="G11" s="23"/>
      <c r="H11" s="25" t="n">
        <f aca="false">F11+G11</f>
        <v>0</v>
      </c>
      <c r="I11" s="23"/>
      <c r="J11" s="23"/>
      <c r="K11" s="23"/>
    </row>
    <row r="12" customFormat="false" ht="19.5" hidden="false" customHeight="true" outlineLevel="0" collapsed="false">
      <c r="A12" s="34"/>
      <c r="B12" s="34"/>
      <c r="C12" s="34"/>
      <c r="D12" s="34"/>
      <c r="E12" s="35" t="n">
        <f aca="false">IF(C12="6-Month Package",12%,IF(C12="Add-On",8%,10%))</f>
        <v>0.1</v>
      </c>
      <c r="F12" s="28" t="n">
        <f aca="false">IF(D12="",0,D12*E12)</f>
        <v>0</v>
      </c>
      <c r="G12" s="34"/>
      <c r="H12" s="28" t="n">
        <f aca="false">F12+G12</f>
        <v>0</v>
      </c>
      <c r="I12" s="34"/>
      <c r="J12" s="34"/>
      <c r="K12" s="34"/>
    </row>
    <row r="13" customFormat="false" ht="19.5" hidden="false" customHeight="true" outlineLevel="0" collapsed="false">
      <c r="A13" s="23"/>
      <c r="B13" s="23"/>
      <c r="C13" s="23"/>
      <c r="D13" s="23"/>
      <c r="E13" s="33" t="n">
        <f aca="false">IF(C13="6-Month Package",12%,IF(C13="Add-On",8%,10%))</f>
        <v>0.1</v>
      </c>
      <c r="F13" s="25" t="n">
        <f aca="false">IF(D13="",0,D13*E13)</f>
        <v>0</v>
      </c>
      <c r="G13" s="23"/>
      <c r="H13" s="25" t="n">
        <f aca="false">F13+G13</f>
        <v>0</v>
      </c>
      <c r="I13" s="23"/>
      <c r="J13" s="23"/>
      <c r="K13" s="23"/>
    </row>
    <row r="14" customFormat="false" ht="19.5" hidden="false" customHeight="true" outlineLevel="0" collapsed="false">
      <c r="A14" s="34"/>
      <c r="B14" s="34"/>
      <c r="C14" s="34"/>
      <c r="D14" s="34"/>
      <c r="E14" s="35" t="n">
        <f aca="false">IF(C14="6-Month Package",12%,IF(C14="Add-On",8%,10%))</f>
        <v>0.1</v>
      </c>
      <c r="F14" s="28" t="n">
        <f aca="false">IF(D14="",0,D14*E14)</f>
        <v>0</v>
      </c>
      <c r="G14" s="34"/>
      <c r="H14" s="28" t="n">
        <f aca="false">F14+G14</f>
        <v>0</v>
      </c>
      <c r="I14" s="34"/>
      <c r="J14" s="34"/>
      <c r="K14" s="34"/>
    </row>
    <row r="15" customFormat="false" ht="19.5" hidden="false" customHeight="true" outlineLevel="0" collapsed="false">
      <c r="A15" s="23"/>
      <c r="B15" s="23"/>
      <c r="C15" s="23"/>
      <c r="D15" s="23"/>
      <c r="E15" s="33" t="n">
        <f aca="false">IF(C15="6-Month Package",12%,IF(C15="Add-On",8%,10%))</f>
        <v>0.1</v>
      </c>
      <c r="F15" s="25" t="n">
        <f aca="false">IF(D15="",0,D15*E15)</f>
        <v>0</v>
      </c>
      <c r="G15" s="23"/>
      <c r="H15" s="25" t="n">
        <f aca="false">F15+G15</f>
        <v>0</v>
      </c>
      <c r="I15" s="23"/>
      <c r="J15" s="23"/>
      <c r="K15" s="23"/>
    </row>
    <row r="16" customFormat="false" ht="19.5" hidden="false" customHeight="true" outlineLevel="0" collapsed="false">
      <c r="A16" s="34"/>
      <c r="B16" s="34"/>
      <c r="C16" s="34"/>
      <c r="D16" s="34"/>
      <c r="E16" s="35" t="n">
        <f aca="false">IF(C16="6-Month Package",12%,IF(C16="Add-On",8%,10%))</f>
        <v>0.1</v>
      </c>
      <c r="F16" s="28" t="n">
        <f aca="false">IF(D16="",0,D16*E16)</f>
        <v>0</v>
      </c>
      <c r="G16" s="34"/>
      <c r="H16" s="28" t="n">
        <f aca="false">F16+G16</f>
        <v>0</v>
      </c>
      <c r="I16" s="34"/>
      <c r="J16" s="34"/>
      <c r="K16" s="34"/>
    </row>
    <row r="17" customFormat="false" ht="19.5" hidden="false" customHeight="true" outlineLevel="0" collapsed="false">
      <c r="A17" s="23"/>
      <c r="B17" s="23"/>
      <c r="C17" s="23"/>
      <c r="D17" s="23"/>
      <c r="E17" s="33" t="n">
        <f aca="false">IF(C17="6-Month Package",12%,IF(C17="Add-On",8%,10%))</f>
        <v>0.1</v>
      </c>
      <c r="F17" s="25" t="n">
        <f aca="false">IF(D17="",0,D17*E17)</f>
        <v>0</v>
      </c>
      <c r="G17" s="23"/>
      <c r="H17" s="25" t="n">
        <f aca="false">F17+G17</f>
        <v>0</v>
      </c>
      <c r="I17" s="23"/>
      <c r="J17" s="23"/>
      <c r="K17" s="23"/>
    </row>
    <row r="18" customFormat="false" ht="19.5" hidden="false" customHeight="true" outlineLevel="0" collapsed="false">
      <c r="A18" s="34"/>
      <c r="B18" s="34"/>
      <c r="C18" s="34"/>
      <c r="D18" s="34"/>
      <c r="E18" s="35" t="n">
        <f aca="false">IF(C18="6-Month Package",12%,IF(C18="Add-On",8%,10%))</f>
        <v>0.1</v>
      </c>
      <c r="F18" s="28" t="n">
        <f aca="false">IF(D18="",0,D18*E18)</f>
        <v>0</v>
      </c>
      <c r="G18" s="34"/>
      <c r="H18" s="28" t="n">
        <f aca="false">F18+G18</f>
        <v>0</v>
      </c>
      <c r="I18" s="34"/>
      <c r="J18" s="34"/>
      <c r="K18" s="34"/>
    </row>
    <row r="19" customFormat="false" ht="19.5" hidden="false" customHeight="true" outlineLevel="0" collapsed="false">
      <c r="A19" s="23"/>
      <c r="B19" s="23"/>
      <c r="C19" s="23"/>
      <c r="D19" s="23"/>
      <c r="E19" s="33" t="n">
        <f aca="false">IF(C19="6-Month Package",12%,IF(C19="Add-On",8%,10%))</f>
        <v>0.1</v>
      </c>
      <c r="F19" s="25" t="n">
        <f aca="false">IF(D19="",0,D19*E19)</f>
        <v>0</v>
      </c>
      <c r="G19" s="23"/>
      <c r="H19" s="25" t="n">
        <f aca="false">F19+G19</f>
        <v>0</v>
      </c>
      <c r="I19" s="23"/>
      <c r="J19" s="23"/>
      <c r="K19" s="23"/>
    </row>
    <row r="20" customFormat="false" ht="19.5" hidden="false" customHeight="true" outlineLevel="0" collapsed="false">
      <c r="A20" s="34"/>
      <c r="B20" s="34"/>
      <c r="C20" s="34"/>
      <c r="D20" s="34"/>
      <c r="E20" s="35" t="n">
        <f aca="false">IF(C20="6-Month Package",12%,IF(C20="Add-On",8%,10%))</f>
        <v>0.1</v>
      </c>
      <c r="F20" s="28" t="n">
        <f aca="false">IF(D20="",0,D20*E20)</f>
        <v>0</v>
      </c>
      <c r="G20" s="34"/>
      <c r="H20" s="28" t="n">
        <f aca="false">F20+G20</f>
        <v>0</v>
      </c>
      <c r="I20" s="34"/>
      <c r="J20" s="34"/>
      <c r="K20" s="34"/>
    </row>
    <row r="21" customFormat="false" ht="19.5" hidden="false" customHeight="true" outlineLevel="0" collapsed="false">
      <c r="A21" s="23"/>
      <c r="B21" s="23"/>
      <c r="C21" s="23"/>
      <c r="D21" s="23"/>
      <c r="E21" s="33" t="n">
        <f aca="false">IF(C21="6-Month Package",12%,IF(C21="Add-On",8%,10%))</f>
        <v>0.1</v>
      </c>
      <c r="F21" s="25" t="n">
        <f aca="false">IF(D21="",0,D21*E21)</f>
        <v>0</v>
      </c>
      <c r="G21" s="23"/>
      <c r="H21" s="25" t="n">
        <f aca="false">F21+G21</f>
        <v>0</v>
      </c>
      <c r="I21" s="23"/>
      <c r="J21" s="23"/>
      <c r="K21" s="23"/>
    </row>
    <row r="22" customFormat="false" ht="19.5" hidden="false" customHeight="true" outlineLevel="0" collapsed="false">
      <c r="A22" s="34"/>
      <c r="B22" s="34"/>
      <c r="C22" s="34"/>
      <c r="D22" s="34"/>
      <c r="E22" s="35" t="n">
        <f aca="false">IF(C22="6-Month Package",12%,IF(C22="Add-On",8%,10%))</f>
        <v>0.1</v>
      </c>
      <c r="F22" s="28" t="n">
        <f aca="false">IF(D22="",0,D22*E22)</f>
        <v>0</v>
      </c>
      <c r="G22" s="34"/>
      <c r="H22" s="28" t="n">
        <f aca="false">F22+G22</f>
        <v>0</v>
      </c>
      <c r="I22" s="34"/>
      <c r="J22" s="34"/>
      <c r="K22" s="34"/>
    </row>
    <row r="23" customFormat="false" ht="19.5" hidden="false" customHeight="true" outlineLevel="0" collapsed="false">
      <c r="A23" s="23"/>
      <c r="B23" s="23"/>
      <c r="C23" s="23"/>
      <c r="D23" s="23"/>
      <c r="E23" s="33" t="n">
        <f aca="false">IF(C23="6-Month Package",12%,IF(C23="Add-On",8%,10%))</f>
        <v>0.1</v>
      </c>
      <c r="F23" s="25" t="n">
        <f aca="false">IF(D23="",0,D23*E23)</f>
        <v>0</v>
      </c>
      <c r="G23" s="23"/>
      <c r="H23" s="25" t="n">
        <f aca="false">F23+G23</f>
        <v>0</v>
      </c>
      <c r="I23" s="23"/>
      <c r="J23" s="23"/>
      <c r="K23" s="23"/>
    </row>
    <row r="24" customFormat="false" ht="19.5" hidden="false" customHeight="true" outlineLevel="0" collapsed="false">
      <c r="A24" s="34"/>
      <c r="B24" s="34"/>
      <c r="C24" s="34"/>
      <c r="D24" s="34"/>
      <c r="E24" s="35" t="n">
        <f aca="false">IF(C24="6-Month Package",12%,IF(C24="Add-On",8%,10%))</f>
        <v>0.1</v>
      </c>
      <c r="F24" s="28" t="n">
        <f aca="false">IF(D24="",0,D24*E24)</f>
        <v>0</v>
      </c>
      <c r="G24" s="34"/>
      <c r="H24" s="28" t="n">
        <f aca="false">F24+G24</f>
        <v>0</v>
      </c>
      <c r="I24" s="34"/>
      <c r="J24" s="34"/>
      <c r="K24" s="34"/>
    </row>
    <row r="25" customFormat="false" ht="19.5" hidden="false" customHeight="true" outlineLevel="0" collapsed="false">
      <c r="A25" s="23"/>
      <c r="B25" s="23"/>
      <c r="C25" s="23"/>
      <c r="D25" s="23"/>
      <c r="E25" s="33" t="n">
        <f aca="false">IF(C25="6-Month Package",12%,IF(C25="Add-On",8%,10%))</f>
        <v>0.1</v>
      </c>
      <c r="F25" s="25" t="n">
        <f aca="false">IF(D25="",0,D25*E25)</f>
        <v>0</v>
      </c>
      <c r="G25" s="23"/>
      <c r="H25" s="25" t="n">
        <f aca="false">F25+G25</f>
        <v>0</v>
      </c>
      <c r="I25" s="23"/>
      <c r="J25" s="23"/>
      <c r="K25" s="23"/>
    </row>
    <row r="26" customFormat="false" ht="19.5" hidden="false" customHeight="true" outlineLevel="0" collapsed="false">
      <c r="A26" s="34"/>
      <c r="B26" s="34"/>
      <c r="C26" s="34"/>
      <c r="D26" s="34"/>
      <c r="E26" s="35" t="n">
        <f aca="false">IF(C26="6-Month Package",12%,IF(C26="Add-On",8%,10%))</f>
        <v>0.1</v>
      </c>
      <c r="F26" s="28" t="n">
        <f aca="false">IF(D26="",0,D26*E26)</f>
        <v>0</v>
      </c>
      <c r="G26" s="34"/>
      <c r="H26" s="28" t="n">
        <f aca="false">F26+G26</f>
        <v>0</v>
      </c>
      <c r="I26" s="34"/>
      <c r="J26" s="34"/>
      <c r="K26" s="34"/>
    </row>
    <row r="27" customFormat="false" ht="19.5" hidden="false" customHeight="true" outlineLevel="0" collapsed="false">
      <c r="A27" s="23"/>
      <c r="B27" s="23"/>
      <c r="C27" s="23"/>
      <c r="D27" s="23"/>
      <c r="E27" s="33" t="n">
        <f aca="false">IF(C27="6-Month Package",12%,IF(C27="Add-On",8%,10%))</f>
        <v>0.1</v>
      </c>
      <c r="F27" s="25" t="n">
        <f aca="false">IF(D27="",0,D27*E27)</f>
        <v>0</v>
      </c>
      <c r="G27" s="23"/>
      <c r="H27" s="25" t="n">
        <f aca="false">F27+G27</f>
        <v>0</v>
      </c>
      <c r="I27" s="23"/>
      <c r="J27" s="23"/>
      <c r="K27" s="23"/>
    </row>
    <row r="28" customFormat="false" ht="19.5" hidden="false" customHeight="true" outlineLevel="0" collapsed="false">
      <c r="A28" s="34"/>
      <c r="B28" s="34"/>
      <c r="C28" s="34"/>
      <c r="D28" s="34"/>
      <c r="E28" s="35" t="n">
        <f aca="false">IF(C28="6-Month Package",12%,IF(C28="Add-On",8%,10%))</f>
        <v>0.1</v>
      </c>
      <c r="F28" s="28" t="n">
        <f aca="false">IF(D28="",0,D28*E28)</f>
        <v>0</v>
      </c>
      <c r="G28" s="34"/>
      <c r="H28" s="28" t="n">
        <f aca="false">F28+G28</f>
        <v>0</v>
      </c>
      <c r="I28" s="34"/>
      <c r="J28" s="34"/>
      <c r="K28" s="34"/>
    </row>
    <row r="29" customFormat="false" ht="19.5" hidden="false" customHeight="true" outlineLevel="0" collapsed="false">
      <c r="A29" s="23"/>
      <c r="B29" s="23"/>
      <c r="C29" s="23"/>
      <c r="D29" s="23"/>
      <c r="E29" s="33" t="n">
        <f aca="false">IF(C29="6-Month Package",12%,IF(C29="Add-On",8%,10%))</f>
        <v>0.1</v>
      </c>
      <c r="F29" s="25" t="n">
        <f aca="false">IF(D29="",0,D29*E29)</f>
        <v>0</v>
      </c>
      <c r="G29" s="23"/>
      <c r="H29" s="25" t="n">
        <f aca="false">F29+G29</f>
        <v>0</v>
      </c>
      <c r="I29" s="23"/>
      <c r="J29" s="23"/>
      <c r="K29" s="23"/>
    </row>
    <row r="30" customFormat="false" ht="27.75" hidden="false" customHeight="true" outlineLevel="0" collapsed="false">
      <c r="A30" s="17" t="s">
        <v>103</v>
      </c>
      <c r="B30" s="17"/>
      <c r="C30" s="17"/>
      <c r="D30" s="17"/>
      <c r="E30" s="19"/>
      <c r="F30" s="36" t="n">
        <f aca="false">SUM(F5:F29)</f>
        <v>0</v>
      </c>
      <c r="G30" s="36" t="n">
        <f aca="false">SUM(G5:G29)</f>
        <v>0</v>
      </c>
      <c r="H30" s="36" t="n">
        <f aca="false">SUM(H5:H29)</f>
        <v>0</v>
      </c>
      <c r="I30" s="19"/>
      <c r="J30" s="19"/>
      <c r="K30" s="19"/>
    </row>
  </sheetData>
  <mergeCells count="3">
    <mergeCell ref="A1:K1"/>
    <mergeCell ref="A2:K2"/>
    <mergeCell ref="A30:D30"/>
  </mergeCells>
  <conditionalFormatting sqref="I5:I29">
    <cfRule type="cellIs" priority="2" operator="equal" aboveAverage="0" equalAverage="0" bottom="0" percent="0" rank="0" text="" dxfId="0">
      <formula>"Paid"</formula>
    </cfRule>
    <cfRule type="cellIs" priority="3" operator="equal" aboveAverage="0" equalAverage="0" bottom="0" percent="0" rank="0" text="" dxfId="5">
      <formula>"Pending"</formula>
    </cfRule>
    <cfRule type="cellIs" priority="4" operator="equal" aboveAverage="0" equalAverage="0" bottom="0" percent="0" rank="0" text="" dxfId="1">
      <formula>"Overdue"</formula>
    </cfRule>
  </conditionalFormatting>
  <dataValidations count="2">
    <dataValidation allowBlank="false" errorStyle="stop" operator="between" showDropDown="false" showErrorMessage="false" showInputMessage="false" sqref="C5:C29" type="list">
      <formula1>"Monthly Retainer,6-Month Package,Add-On"</formula1>
      <formula2>0</formula2>
    </dataValidation>
    <dataValidation allowBlank="false" errorStyle="stop" operator="between" showDropDown="false" showErrorMessage="false" showInputMessage="false" sqref="I5:I29" type="list">
      <formula1>"Pending,Paid,Overdue"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40"/>
  </cols>
  <sheetData>
    <row r="1" customFormat="false" ht="37.5" hidden="false" customHeight="true" outlineLevel="0" collapsed="false">
      <c r="A1" s="1" t="s">
        <v>104</v>
      </c>
      <c r="B1" s="1"/>
      <c r="C1" s="1"/>
    </row>
    <row r="3" customFormat="false" ht="24" hidden="false" customHeight="true" outlineLevel="0" collapsed="false">
      <c r="A3" s="37" t="s">
        <v>105</v>
      </c>
      <c r="B3" s="37"/>
      <c r="C3" s="37"/>
    </row>
    <row r="4" customFormat="false" ht="18" hidden="false" customHeight="true" outlineLevel="0" collapsed="false">
      <c r="A4" s="38"/>
      <c r="B4" s="39" t="s">
        <v>106</v>
      </c>
      <c r="C4" s="39"/>
    </row>
    <row r="5" customFormat="false" ht="18" hidden="false" customHeight="true" outlineLevel="0" collapsed="false">
      <c r="A5" s="38"/>
      <c r="B5" s="40" t="s">
        <v>107</v>
      </c>
      <c r="C5" s="40"/>
    </row>
    <row r="6" customFormat="false" ht="18" hidden="false" customHeight="true" outlineLevel="0" collapsed="false">
      <c r="A6" s="38"/>
      <c r="B6" s="39" t="s">
        <v>108</v>
      </c>
      <c r="C6" s="39"/>
    </row>
    <row r="7" customFormat="false" ht="18" hidden="false" customHeight="true" outlineLevel="0" collapsed="false">
      <c r="A7" s="38"/>
      <c r="B7" s="40" t="s">
        <v>109</v>
      </c>
      <c r="C7" s="40"/>
    </row>
    <row r="9" customFormat="false" ht="24" hidden="false" customHeight="true" outlineLevel="0" collapsed="false">
      <c r="A9" s="41" t="s">
        <v>110</v>
      </c>
      <c r="B9" s="41"/>
      <c r="C9" s="41"/>
    </row>
    <row r="10" customFormat="false" ht="18" hidden="false" customHeight="true" outlineLevel="0" collapsed="false">
      <c r="A10" s="38"/>
      <c r="B10" s="39" t="s">
        <v>111</v>
      </c>
      <c r="C10" s="39"/>
    </row>
    <row r="11" customFormat="false" ht="18" hidden="false" customHeight="true" outlineLevel="0" collapsed="false">
      <c r="A11" s="38"/>
      <c r="B11" s="40" t="s">
        <v>112</v>
      </c>
      <c r="C11" s="40"/>
    </row>
    <row r="12" customFormat="false" ht="18" hidden="false" customHeight="true" outlineLevel="0" collapsed="false">
      <c r="A12" s="38"/>
      <c r="B12" s="39" t="s">
        <v>113</v>
      </c>
      <c r="C12" s="39"/>
    </row>
    <row r="13" customFormat="false" ht="18" hidden="false" customHeight="true" outlineLevel="0" collapsed="false">
      <c r="A13" s="38"/>
      <c r="B13" s="40" t="s">
        <v>114</v>
      </c>
      <c r="C13" s="40"/>
    </row>
    <row r="15" customFormat="false" ht="24" hidden="false" customHeight="true" outlineLevel="0" collapsed="false">
      <c r="A15" s="37" t="s">
        <v>115</v>
      </c>
      <c r="B15" s="37"/>
      <c r="C15" s="37"/>
    </row>
    <row r="16" customFormat="false" ht="18" hidden="false" customHeight="true" outlineLevel="0" collapsed="false">
      <c r="A16" s="38"/>
      <c r="B16" s="39" t="s">
        <v>116</v>
      </c>
      <c r="C16" s="39"/>
    </row>
    <row r="17" customFormat="false" ht="18" hidden="false" customHeight="true" outlineLevel="0" collapsed="false">
      <c r="A17" s="38"/>
      <c r="B17" s="40" t="s">
        <v>117</v>
      </c>
      <c r="C17" s="40"/>
    </row>
    <row r="18" customFormat="false" ht="18" hidden="false" customHeight="true" outlineLevel="0" collapsed="false">
      <c r="A18" s="38"/>
      <c r="B18" s="39" t="s">
        <v>118</v>
      </c>
      <c r="C18" s="39"/>
    </row>
    <row r="20" customFormat="false" ht="24" hidden="false" customHeight="true" outlineLevel="0" collapsed="false">
      <c r="A20" s="41" t="s">
        <v>119</v>
      </c>
      <c r="B20" s="41"/>
      <c r="C20" s="41"/>
    </row>
    <row r="21" customFormat="false" ht="18" hidden="false" customHeight="true" outlineLevel="0" collapsed="false">
      <c r="A21" s="38"/>
      <c r="B21" s="40" t="s">
        <v>120</v>
      </c>
      <c r="C21" s="40"/>
    </row>
    <row r="22" customFormat="false" ht="18" hidden="false" customHeight="true" outlineLevel="0" collapsed="false">
      <c r="A22" s="38"/>
      <c r="B22" s="39" t="s">
        <v>121</v>
      </c>
      <c r="C22" s="39"/>
    </row>
    <row r="23" customFormat="false" ht="18" hidden="false" customHeight="true" outlineLevel="0" collapsed="false">
      <c r="A23" s="38"/>
      <c r="B23" s="40" t="s">
        <v>122</v>
      </c>
      <c r="C23" s="40"/>
    </row>
    <row r="24" customFormat="false" ht="18" hidden="false" customHeight="true" outlineLevel="0" collapsed="false">
      <c r="A24" s="38"/>
      <c r="B24" s="39" t="s">
        <v>123</v>
      </c>
      <c r="C24" s="39"/>
    </row>
    <row r="26" customFormat="false" ht="24" hidden="false" customHeight="true" outlineLevel="0" collapsed="false">
      <c r="A26" s="42" t="s">
        <v>124</v>
      </c>
      <c r="B26" s="42"/>
      <c r="C26" s="42"/>
    </row>
    <row r="27" customFormat="false" ht="18" hidden="false" customHeight="true" outlineLevel="0" collapsed="false">
      <c r="A27" s="38"/>
      <c r="B27" s="40" t="s">
        <v>125</v>
      </c>
      <c r="C27" s="40"/>
    </row>
    <row r="28" customFormat="false" ht="18" hidden="false" customHeight="true" outlineLevel="0" collapsed="false">
      <c r="A28" s="38"/>
      <c r="B28" s="39" t="s">
        <v>126</v>
      </c>
      <c r="C28" s="39"/>
    </row>
    <row r="29" customFormat="false" ht="18" hidden="false" customHeight="true" outlineLevel="0" collapsed="false">
      <c r="A29" s="38"/>
      <c r="B29" s="40" t="s">
        <v>127</v>
      </c>
      <c r="C29" s="40"/>
    </row>
    <row r="30" customFormat="false" ht="18" hidden="false" customHeight="true" outlineLevel="0" collapsed="false">
      <c r="A30" s="38"/>
      <c r="B30" s="39" t="s">
        <v>128</v>
      </c>
      <c r="C30" s="39"/>
    </row>
    <row r="31" customFormat="false" ht="18" hidden="false" customHeight="true" outlineLevel="0" collapsed="false">
      <c r="A31" s="38"/>
      <c r="B31" s="40" t="s">
        <v>129</v>
      </c>
      <c r="C31" s="40"/>
    </row>
  </sheetData>
  <mergeCells count="26">
    <mergeCell ref="A1:C1"/>
    <mergeCell ref="A3:C3"/>
    <mergeCell ref="B4:C4"/>
    <mergeCell ref="B5:C5"/>
    <mergeCell ref="B6:C6"/>
    <mergeCell ref="B7:C7"/>
    <mergeCell ref="A9:C9"/>
    <mergeCell ref="B10:C10"/>
    <mergeCell ref="B11:C11"/>
    <mergeCell ref="B12:C12"/>
    <mergeCell ref="B13:C13"/>
    <mergeCell ref="A15:C15"/>
    <mergeCell ref="B16:C16"/>
    <mergeCell ref="B17:C17"/>
    <mergeCell ref="B18:C18"/>
    <mergeCell ref="A20:C20"/>
    <mergeCell ref="B21:C21"/>
    <mergeCell ref="B22:C22"/>
    <mergeCell ref="B23:C23"/>
    <mergeCell ref="B24:C24"/>
    <mergeCell ref="A26:C26"/>
    <mergeCell ref="B27:C27"/>
    <mergeCell ref="B28:C28"/>
    <mergeCell ref="B29:C29"/>
    <mergeCell ref="B30:C30"/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2026-02-22T22:32:53Z</dcterms:created>
  <dc:creator>openpyxl</dc:creator>
  <dc:description/>
  <dc:language>en-US</dc:language>
  <cp:lastModifiedBy/>
  <dcterms:modified xsi:type="dcterms:W3CDTF">2026-02-22T22:32:53Z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